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4"/>
  </bookViews>
  <sheets>
    <sheet name="TongQuan" sheetId="1" r:id="rId1"/>
    <sheet name="GiaoDich" sheetId="2" r:id="rId2"/>
    <sheet name="TaiKhoan" sheetId="3" r:id="rId3"/>
    <sheet name="DanhMuc" sheetId="4" r:id="rId4"/>
    <sheet name="HuongDan" sheetId="5" r:id="rId5"/>
  </sheets>
  <definedNames>
    <definedName name="_xlnm._FilterDatabase" localSheetId="1" hidden="1">GiaoDich!$A$1:$J$1000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D1" authorId="0">
      <text>
        <r>
          <rPr>
            <sz val="10"/>
            <rFont val="Arial"/>
            <charset val="134"/>
          </rPr>
          <t>Luôn nhập số dương. Riêng Loại = Điều chỉnh có thể nhập số âm (giảm số dư).</t>
        </r>
      </text>
    </comment>
    <comment ref="F1" authorId="0">
      <text>
        <r>
          <rPr>
            <sz val="10"/>
            <rFont val="Arial"/>
            <charset val="134"/>
          </rPr>
          <t>Chỉ điền khi Loại = Chuyển khoản: cột Tài khoản là nơi tiền đi, cột này là nơi tiền đến.</t>
        </r>
      </text>
    </comment>
  </commentList>
</comments>
</file>

<file path=xl/sharedStrings.xml><?xml version="1.0" encoding="utf-8"?>
<sst xmlns="http://schemas.openxmlformats.org/spreadsheetml/2006/main" count="306" uniqueCount="144">
  <si>
    <t>SỔ THU CHI - TỔNG QUAN</t>
  </si>
  <si>
    <t>Năm</t>
  </si>
  <si>
    <t>← chọn năm / tháng cần xem</t>
  </si>
  <si>
    <t>Tháng</t>
  </si>
  <si>
    <t>Từ ngày</t>
  </si>
  <si>
    <t>Đến trước ngày</t>
  </si>
  <si>
    <t>TỔNG QUAN THÁNG ĐANG XEM</t>
  </si>
  <si>
    <t>Tổng tài sản (tất cả tài khoản)</t>
  </si>
  <si>
    <t>Thu (₫)</t>
  </si>
  <si>
    <t>Chi (₫)</t>
  </si>
  <si>
    <t>Chênh lệch (₫)</t>
  </si>
  <si>
    <t>Thu trong tháng</t>
  </si>
  <si>
    <t>Chi trong tháng</t>
  </si>
  <si>
    <t>Chênh lệch (Thu − Chi)</t>
  </si>
  <si>
    <t>Tỷ lệ tiết kiệm</t>
  </si>
  <si>
    <t>Điều chỉnh số dư (không tính thu/chi)</t>
  </si>
  <si>
    <t>Số giao dịch trong tháng</t>
  </si>
  <si>
    <t>CHI THEO HẠNG MỤC CHA</t>
  </si>
  <si>
    <t>Hạng mục</t>
  </si>
  <si>
    <t>Số tiền (₫)</t>
  </si>
  <si>
    <t>Tỷ lệ</t>
  </si>
  <si>
    <t>Cả năm</t>
  </si>
  <si>
    <t>Chưa phân loại</t>
  </si>
  <si>
    <t>Tổng chi</t>
  </si>
  <si>
    <t>THU THEO NGUỒN</t>
  </si>
  <si>
    <t>Tổng thu</t>
  </si>
  <si>
    <t>ID</t>
  </si>
  <si>
    <t>Ngày</t>
  </si>
  <si>
    <t>Loại</t>
  </si>
  <si>
    <t>Tài khoản</t>
  </si>
  <si>
    <t>Tài khoản đến (chỉ khi Chuyển khoản)</t>
  </si>
  <si>
    <t>Hạng mục cha</t>
  </si>
  <si>
    <t>Hạng mục con</t>
  </si>
  <si>
    <t>Ghi chú</t>
  </si>
  <si>
    <t>Tạo lúc</t>
  </si>
  <si>
    <t>Tên tài khoản</t>
  </si>
  <si>
    <t>Số dư đầu kỳ</t>
  </si>
  <si>
    <t>Thu</t>
  </si>
  <si>
    <t>Chi</t>
  </si>
  <si>
    <t>Chuyển vào</t>
  </si>
  <si>
    <t>Chuyển ra</t>
  </si>
  <si>
    <t>Điều chỉnh</t>
  </si>
  <si>
    <t>Số dư hiện tại</t>
  </si>
  <si>
    <t>Tiền mặt</t>
  </si>
  <si>
    <t>Ngân hàng chính</t>
  </si>
  <si>
    <t>Ngân hàng</t>
  </si>
  <si>
    <t>Ví điện tử</t>
  </si>
  <si>
    <t>Tiết kiệm</t>
  </si>
  <si>
    <t>TỔNG</t>
  </si>
  <si>
    <t>Số dư hiện tại = Số dư đầu kỳ + Thu − Chi + Chuyển vào − Chuyển ra + Điều chỉnh. Thẻ tín dụng: để số dư đầu kỳ âm nếu đang nợ.</t>
  </si>
  <si>
    <t>Số tiền tháng đang xem (₫)</t>
  </si>
  <si>
    <t>Hạng mục cha (tất cả)</t>
  </si>
  <si>
    <t>Loại giao dịch</t>
  </si>
  <si>
    <t>Thêm/sửa hạng mục: sửa cột A-C (mỗi hạng mục con phải có tên riêng, không trùng). Thêm hạng mục cha mới ở cột E-F.</t>
  </si>
  <si>
    <t>Ăn uống</t>
  </si>
  <si>
    <t>Ăn sáng</t>
  </si>
  <si>
    <t>Ăn trưa</t>
  </si>
  <si>
    <t>Đi lại</t>
  </si>
  <si>
    <t>Ăn tối</t>
  </si>
  <si>
    <t>Nhà cửa</t>
  </si>
  <si>
    <t>Chuyển khoản</t>
  </si>
  <si>
    <t>Đi chợ/siêu thị</t>
  </si>
  <si>
    <t>Gia đình</t>
  </si>
  <si>
    <t>Cafe, trà sữa</t>
  </si>
  <si>
    <t>Hiếu hỉ</t>
  </si>
  <si>
    <t>Ăn vặt</t>
  </si>
  <si>
    <t>Học tập</t>
  </si>
  <si>
    <t>Gửi xe</t>
  </si>
  <si>
    <t>Giải trí</t>
  </si>
  <si>
    <t>Xăng xe</t>
  </si>
  <si>
    <t>Mua sắm</t>
  </si>
  <si>
    <t>Sửa chữa, bảo dưỡng xe</t>
  </si>
  <si>
    <t>Sức khỏe</t>
  </si>
  <si>
    <t>Taxi/Grab/xe buýt</t>
  </si>
  <si>
    <t>Liên lạc</t>
  </si>
  <si>
    <t>Vé tàu, xe, máy bay</t>
  </si>
  <si>
    <t>Tài chính</t>
  </si>
  <si>
    <t>Phí cầu đường</t>
  </si>
  <si>
    <t>Trả nợ</t>
  </si>
  <si>
    <t>Bảo hiểm, đăng kiểm xe</t>
  </si>
  <si>
    <t>Khác</t>
  </si>
  <si>
    <t>Thuê nhà</t>
  </si>
  <si>
    <t>Lương</t>
  </si>
  <si>
    <t>Điện</t>
  </si>
  <si>
    <t>Thưởng</t>
  </si>
  <si>
    <t>Nước</t>
  </si>
  <si>
    <t>Làm thêm</t>
  </si>
  <si>
    <t>Internet, truyền hình</t>
  </si>
  <si>
    <t>Đầu tư &amp; lãi</t>
  </si>
  <si>
    <t>Gas</t>
  </si>
  <si>
    <t>Quà tặng</t>
  </si>
  <si>
    <t>Sửa chữa nhà cửa</t>
  </si>
  <si>
    <t>Thu khác</t>
  </si>
  <si>
    <t>Đồ dùng gia đình</t>
  </si>
  <si>
    <t>Cho cha mẹ</t>
  </si>
  <si>
    <t>Con cái</t>
  </si>
  <si>
    <t>Biếu tặng</t>
  </si>
  <si>
    <t>Cưới hỏi</t>
  </si>
  <si>
    <t>Ma chay</t>
  </si>
  <si>
    <t>Lì xì</t>
  </si>
  <si>
    <t>Học phí</t>
  </si>
  <si>
    <t>Sách vở, dụng cụ</t>
  </si>
  <si>
    <t>Khóa học</t>
  </si>
  <si>
    <t>Xem phim, ca nhạc</t>
  </si>
  <si>
    <t>Game, ứng dụng</t>
  </si>
  <si>
    <t>Du lịch</t>
  </si>
  <si>
    <t>Vé số</t>
  </si>
  <si>
    <t>Quần áo</t>
  </si>
  <si>
    <t>Giày dép, phụ kiện</t>
  </si>
  <si>
    <t>Đồ điện tử, công nghệ</t>
  </si>
  <si>
    <t>Mỹ phẩm, chăm sóc cá nhân</t>
  </si>
  <si>
    <t>Khám chữa bệnh</t>
  </si>
  <si>
    <t>Thuốc men</t>
  </si>
  <si>
    <t>Thể thao, gym</t>
  </si>
  <si>
    <t>Cước điện thoại</t>
  </si>
  <si>
    <t>Nạp data, thẻ cào</t>
  </si>
  <si>
    <t>Phí ngân hàng, lãi vay</t>
  </si>
  <si>
    <t>Bảo hiểm</t>
  </si>
  <si>
    <t>Thuế, lệ phí</t>
  </si>
  <si>
    <t>Trả nợ gốc</t>
  </si>
  <si>
    <t>Trả lãi</t>
  </si>
  <si>
    <t>Chi khác</t>
  </si>
  <si>
    <t>Lương chính</t>
  </si>
  <si>
    <t>Thưởng, hoa hồng</t>
  </si>
  <si>
    <t>Freelance, làm thêm</t>
  </si>
  <si>
    <t>Lãi tiết kiệm</t>
  </si>
  <si>
    <t>Lời đầu tư</t>
  </si>
  <si>
    <t>Được cho, tặng</t>
  </si>
  <si>
    <t>Hoàn tiền</t>
  </si>
  <si>
    <t>HƯỚNG DẪN SỬ DỤNG</t>
  </si>
  <si>
    <t>1. Mở sheet TaiKhoan: sửa/thêm tài khoản và nhập số dư đầu kỳ (ô vàng, chữ xanh).</t>
  </si>
  <si>
    <t>2. Mở sheet GiaoDich: mỗi giao dịch 1 dòng. Cột Loại, Tài khoản, Hạng mục chọn từ danh sách thả xuống.</t>
  </si>
  <si>
    <t>3. Thu / Chi: điền Tài khoản + Hạng mục cha + Hạng mục con. Số tiền luôn nhập số dương.</t>
  </si>
  <si>
    <t>4. Chuyển khoản (giữa các tài khoản, kể cả gửi tiết kiệm, rút tiền): điền Tài khoản (đi) và Tài khoản đến. Không tính vào thu/chi.</t>
  </si>
  <si>
    <t>5. Điều chỉnh: chỉnh số dư tài khoản cho khớp thực tế (có thể số âm). Không tính vào thu/chi.</t>
  </si>
  <si>
    <t>6. Sheet TongQuan: chọn Năm và Tháng ở ô B3, B4. Mọi số liệu tự cập nhật.</t>
  </si>
  <si>
    <t>7. Thêm hạng mục mới ở sheet DanhMuc. Tên hạng mục con không được trùng nhau.</t>
  </si>
  <si>
    <t>Quy ước: ô vàng + chữ xanh = ô để bạn nhập; chữ đen = công thức (đừng sửa); chữ xanh lá = lấy từ sheet khác.</t>
  </si>
  <si>
    <t>Dòng "Chưa phân loại" ở TongQuan = giao dịch Thu/Chi thiếu Hạng mục cha. Nên bằng 0.</t>
  </si>
  <si>
    <t>Ví dụ 1 dòng trong GiaoDich:</t>
  </si>
  <si>
    <t>Tài khoản đến</t>
  </si>
  <si>
    <t>V001</t>
  </si>
  <si>
    <t>Bánh mì + cafe</t>
  </si>
  <si>
    <t>(Chỉ là ví dụ, không tính vào số liệu. Dữ liệu thật nhập ở sheet GiaoDich.)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</si>
</sst>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\ _₫_-;\-* #,##0\ _₫_-;_-* &quot;-&quot;\ _₫_-;_-@_-"/>
    <numFmt numFmtId="43" formatCode="_-* #,##0.00\ _₫_-;\-* #,##0.00\ _₫_-;_-* &quot;-&quot;??\ _₫_-;_-@_-"/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  <numFmt numFmtId="178" formatCode="#,##0;[Red]\-#,##0;\-"/>
    <numFmt numFmtId="179" formatCode="#,##0;\-#,##0"/>
    <numFmt numFmtId="180" formatCode="dd/mm/yyyy\ hh:mm"/>
    <numFmt numFmtId="181" formatCode="\T0"/>
    <numFmt numFmtId="182" formatCode="0.0%"/>
  </numFmts>
  <fonts count="33">
    <font>
      <sz val="11"/>
      <color theme="1"/>
      <name val="Calibri"/>
      <charset val="1"/>
    </font>
    <font>
      <b/>
      <sz val="16"/>
      <color rgb="FF1F4E7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7F7F7F"/>
      <name val="Arial"/>
      <charset val="1"/>
    </font>
    <font>
      <sz val="10"/>
      <color rgb="FF0000FF"/>
      <name val="Arial"/>
      <charset val="1"/>
    </font>
    <font>
      <sz val="10"/>
      <color theme="1"/>
      <name val="Arial"/>
      <charset val="1"/>
    </font>
    <font>
      <b/>
      <sz val="11"/>
      <color rgb="FF1F4E78"/>
      <name val="Arial"/>
      <charset val="1"/>
    </font>
    <font>
      <sz val="10"/>
      <color rgb="FF008000"/>
      <name val="Arial"/>
      <charset val="1"/>
    </font>
    <font>
      <i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176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177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58" fontId="2" fillId="0" borderId="1" xfId="0" applyNumberFormat="1" applyFont="1" applyBorder="1"/>
    <xf numFmtId="3" fontId="2" fillId="0" borderId="1" xfId="0" applyNumberFormat="1" applyFont="1" applyBorder="1"/>
    <xf numFmtId="0" fontId="5" fillId="0" borderId="0" xfId="0" applyFont="1"/>
    <xf numFmtId="178" fontId="2" fillId="0" borderId="0" xfId="0" applyNumberFormat="1" applyFont="1"/>
    <xf numFmtId="0" fontId="6" fillId="3" borderId="1" xfId="0" applyFont="1" applyFill="1" applyBorder="1"/>
    <xf numFmtId="178" fontId="6" fillId="3" borderId="1" xfId="0" applyNumberFormat="1" applyFont="1" applyFill="1" applyBorder="1"/>
    <xf numFmtId="178" fontId="2" fillId="0" borderId="1" xfId="0" applyNumberFormat="1" applyFont="1" applyBorder="1"/>
    <xf numFmtId="178" fontId="3" fillId="0" borderId="1" xfId="0" applyNumberFormat="1" applyFont="1" applyBorder="1"/>
    <xf numFmtId="0" fontId="6" fillId="0" borderId="1" xfId="0" applyFont="1" applyBorder="1"/>
    <xf numFmtId="0" fontId="3" fillId="4" borderId="0" xfId="0" applyFont="1" applyFill="1"/>
    <xf numFmtId="0" fontId="0" fillId="4" borderId="0" xfId="0" applyFill="1"/>
    <xf numFmtId="178" fontId="3" fillId="4" borderId="0" xfId="0" applyNumberFormat="1" applyFont="1" applyFill="1"/>
    <xf numFmtId="58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7" fillId="0" borderId="0" xfId="0" applyFont="1"/>
    <xf numFmtId="0" fontId="6" fillId="3" borderId="1" xfId="0" applyFont="1" applyFill="1" applyBorder="1" applyAlignment="1">
      <alignment horizontal="right"/>
    </xf>
    <xf numFmtId="58" fontId="7" fillId="0" borderId="0" xfId="0" applyNumberFormat="1" applyFont="1" applyAlignment="1">
      <alignment horizontal="right"/>
    </xf>
    <xf numFmtId="0" fontId="8" fillId="0" borderId="0" xfId="0" applyFont="1"/>
    <xf numFmtId="178" fontId="9" fillId="0" borderId="1" xfId="0" applyNumberFormat="1" applyFont="1" applyBorder="1"/>
    <xf numFmtId="181" fontId="2" fillId="0" borderId="1" xfId="0" applyNumberFormat="1" applyFont="1" applyBorder="1" applyAlignment="1">
      <alignment horizontal="center"/>
    </xf>
    <xf numFmtId="182" fontId="3" fillId="0" borderId="1" xfId="0" applyNumberFormat="1" applyFont="1" applyBorder="1"/>
    <xf numFmtId="1" fontId="3" fillId="0" borderId="1" xfId="0" applyNumberFormat="1" applyFont="1" applyBorder="1"/>
    <xf numFmtId="0" fontId="9" fillId="0" borderId="1" xfId="0" applyFont="1" applyBorder="1"/>
    <xf numFmtId="182" fontId="2" fillId="0" borderId="1" xfId="0" applyNumberFormat="1" applyFont="1" applyBorder="1"/>
    <xf numFmtId="0" fontId="3" fillId="4" borderId="1" xfId="0" applyFont="1" applyFill="1" applyBorder="1"/>
    <xf numFmtId="178" fontId="3" fillId="4" borderId="1" xfId="0" applyNumberFormat="1" applyFont="1" applyFill="1" applyBorder="1"/>
    <xf numFmtId="0" fontId="10" fillId="0" borderId="1" xfId="0" applyFont="1" applyBorder="1"/>
    <xf numFmtId="182" fontId="3" fillId="4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name val="Arial"/>
        <scheme val="none"/>
        <charset val="1"/>
        <family val="0"/>
        <b val="1"/>
        <color rgb="FF00803C"/>
      </font>
    </dxf>
    <dxf>
      <font>
        <name val="Arial"/>
        <scheme val="none"/>
        <charset val="1"/>
        <family val="0"/>
        <b val="1"/>
        <color rgb="FFC00000"/>
      </font>
    </dxf>
    <dxf>
      <font>
        <name val="Arial"/>
        <scheme val="none"/>
        <charset val="1"/>
        <family val="0"/>
        <b val="1"/>
        <color rgb="FF1F4E78"/>
      </font>
    </dxf>
    <dxf>
      <font>
        <name val="Arial"/>
        <scheme val="none"/>
        <charset val="1"/>
        <family val="0"/>
        <b val="1"/>
        <color rgb="FFC55A1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3C"/>
      <rgbColor rgb="00BFBFBF"/>
      <rgbColor rgb="007F7F7F"/>
      <rgbColor rgb="009999FF"/>
      <rgbColor rgb="00C0504D"/>
      <rgbColor rgb="00FFF2CC"/>
      <rgbColor rgb="00F2F2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C55A11"/>
      <rgbColor rgb="004F81BD"/>
      <rgbColor rgb="00878787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Thu - Chi theo tháng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TongQuan!$F$10</c:f>
              <c:strCache>
                <c:ptCount val="1"/>
                <c:pt idx="0">
                  <c:v>Thu (₫)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TongQuan!$E$11:$E$22</c:f>
              <c:numCache>
                <c:formatCode>\T0</c:formatCode>
                <c:ptCount val="12"/>
                <c:pt idx="0" c:formatCode="\T0">
                  <c:v>1</c:v>
                </c:pt>
                <c:pt idx="1" c:formatCode="\T0">
                  <c:v>2</c:v>
                </c:pt>
                <c:pt idx="2" c:formatCode="\T0">
                  <c:v>3</c:v>
                </c:pt>
                <c:pt idx="3" c:formatCode="\T0">
                  <c:v>4</c:v>
                </c:pt>
                <c:pt idx="4" c:formatCode="\T0">
                  <c:v>5</c:v>
                </c:pt>
                <c:pt idx="5" c:formatCode="\T0">
                  <c:v>6</c:v>
                </c:pt>
                <c:pt idx="6" c:formatCode="\T0">
                  <c:v>7</c:v>
                </c:pt>
                <c:pt idx="7" c:formatCode="\T0">
                  <c:v>8</c:v>
                </c:pt>
                <c:pt idx="8" c:formatCode="\T0">
                  <c:v>9</c:v>
                </c:pt>
                <c:pt idx="9" c:formatCode="\T0">
                  <c:v>10</c:v>
                </c:pt>
                <c:pt idx="10" c:formatCode="\T0">
                  <c:v>11</c:v>
                </c:pt>
                <c:pt idx="11" c:formatCode="\T0">
                  <c:v>12</c:v>
                </c:pt>
              </c:numCache>
            </c:numRef>
          </c:cat>
          <c:val>
            <c:numRef>
              <c:f>TongQuan!$F$11:$F$22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TongQuan!$G$10</c:f>
              <c:strCache>
                <c:ptCount val="1"/>
                <c:pt idx="0">
                  <c:v>Chi (₫)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TongQuan!$E$11:$E$22</c:f>
              <c:numCache>
                <c:formatCode>\T0</c:formatCode>
                <c:ptCount val="12"/>
                <c:pt idx="0" c:formatCode="\T0">
                  <c:v>1</c:v>
                </c:pt>
                <c:pt idx="1" c:formatCode="\T0">
                  <c:v>2</c:v>
                </c:pt>
                <c:pt idx="2" c:formatCode="\T0">
                  <c:v>3</c:v>
                </c:pt>
                <c:pt idx="3" c:formatCode="\T0">
                  <c:v>4</c:v>
                </c:pt>
                <c:pt idx="4" c:formatCode="\T0">
                  <c:v>5</c:v>
                </c:pt>
                <c:pt idx="5" c:formatCode="\T0">
                  <c:v>6</c:v>
                </c:pt>
                <c:pt idx="6" c:formatCode="\T0">
                  <c:v>7</c:v>
                </c:pt>
                <c:pt idx="7" c:formatCode="\T0">
                  <c:v>8</c:v>
                </c:pt>
                <c:pt idx="8" c:formatCode="\T0">
                  <c:v>9</c:v>
                </c:pt>
                <c:pt idx="9" c:formatCode="\T0">
                  <c:v>10</c:v>
                </c:pt>
                <c:pt idx="10" c:formatCode="\T0">
                  <c:v>11</c:v>
                </c:pt>
                <c:pt idx="11" c:formatCode="\T0">
                  <c:v>12</c:v>
                </c:pt>
              </c:numCache>
            </c:numRef>
          </c:cat>
          <c:val>
            <c:numRef>
              <c:f>TongQuan!$G$11:$G$22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248894"/>
        <c:axId val="31992295"/>
      </c:barChart>
      <c:catAx>
        <c:axId val="5248894"/>
        <c:scaling>
          <c:orientation val="minMax"/>
        </c:scaling>
        <c:delete val="0"/>
        <c:axPos val="b"/>
        <c:numFmt formatCode="\T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1992295"/>
        <c:crosses val="autoZero"/>
        <c:auto val="1"/>
        <c:lblAlgn val="ctr"/>
        <c:lblOffset val="100"/>
        <c:noMultiLvlLbl val="0"/>
      </c:catAx>
      <c:valAx>
        <c:axId val="3199229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;[Red]\-#,##0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248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2534e2-f2dd-436f-864a-f5936131c2a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23</xdr:row>
      <xdr:rowOff>130680</xdr:rowOff>
    </xdr:from>
    <xdr:to>
      <xdr:col>11</xdr:col>
      <xdr:colOff>56160</xdr:colOff>
      <xdr:row>38</xdr:row>
      <xdr:rowOff>153000</xdr:rowOff>
    </xdr:to>
    <xdr:graphicFrame>
      <xdr:nvGraphicFramePr>
        <xdr:cNvPr id="2" name="Chart 1"/>
        <xdr:cNvGraphicFramePr/>
      </xdr:nvGraphicFramePr>
      <xdr:xfrm>
        <a:off x="4732020" y="4420235"/>
        <a:ext cx="595566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showGridLines="0" topLeftCell="A24" workbookViewId="0">
      <selection activeCell="C7" sqref="C7"/>
    </sheetView>
  </sheetViews>
  <sheetFormatPr defaultColWidth="8.67592592592593" defaultRowHeight="14.4" outlineLevelCol="7"/>
  <cols>
    <col min="1" max="1" width="38" customWidth="1"/>
    <col min="2" max="2" width="18" customWidth="1"/>
    <col min="3" max="3" width="10" customWidth="1"/>
    <col min="4" max="4" width="3" customWidth="1"/>
    <col min="5" max="5" width="10" customWidth="1"/>
    <col min="6" max="7" width="16" customWidth="1"/>
    <col min="8" max="8" width="18" customWidth="1"/>
  </cols>
  <sheetData>
    <row r="1" ht="21" spans="1:8">
      <c r="A1" s="1" t="s">
        <v>0</v>
      </c>
      <c r="B1" s="21"/>
      <c r="C1" s="21"/>
      <c r="D1" s="21"/>
      <c r="E1" s="21"/>
      <c r="F1" s="21"/>
      <c r="G1" s="21"/>
      <c r="H1" s="21"/>
    </row>
    <row r="2" spans="1:8">
      <c r="A2" s="21"/>
      <c r="B2" s="21"/>
      <c r="C2" s="21"/>
      <c r="D2" s="21"/>
      <c r="E2" s="21"/>
      <c r="F2" s="21"/>
      <c r="G2" s="21"/>
      <c r="H2" s="21"/>
    </row>
    <row r="3" spans="1:8">
      <c r="A3" s="21" t="s">
        <v>1</v>
      </c>
      <c r="B3" s="22">
        <v>2026</v>
      </c>
      <c r="C3" s="8" t="s">
        <v>2</v>
      </c>
      <c r="D3" s="21"/>
      <c r="E3" s="21"/>
      <c r="F3" s="21"/>
      <c r="G3" s="21"/>
      <c r="H3" s="21"/>
    </row>
    <row r="4" spans="1:8">
      <c r="A4" s="21" t="s">
        <v>3</v>
      </c>
      <c r="B4" s="22">
        <v>10</v>
      </c>
      <c r="C4" s="21"/>
      <c r="D4" s="21"/>
      <c r="E4" s="21"/>
      <c r="F4" s="21"/>
      <c r="G4" s="21"/>
      <c r="H4" s="21"/>
    </row>
    <row r="5" spans="1:8">
      <c r="A5" s="21"/>
      <c r="B5" s="21"/>
      <c r="C5" s="21"/>
      <c r="D5" s="21"/>
      <c r="E5" s="21"/>
      <c r="F5" s="21"/>
      <c r="G5" s="21"/>
      <c r="H5" s="21"/>
    </row>
    <row r="6" spans="1:8">
      <c r="A6" s="21" t="s">
        <v>4</v>
      </c>
      <c r="B6" s="23">
        <f>DATE(B3,B4,1)</f>
        <v>46296</v>
      </c>
      <c r="C6" s="21"/>
      <c r="D6" s="21"/>
      <c r="E6" s="21"/>
      <c r="F6" s="21"/>
      <c r="G6" s="21"/>
      <c r="H6" s="21"/>
    </row>
    <row r="7" spans="1:8">
      <c r="A7" s="21" t="s">
        <v>5</v>
      </c>
      <c r="B7" s="23">
        <f>EDATE(B6,1)</f>
        <v>46327</v>
      </c>
      <c r="C7" s="21"/>
      <c r="D7" s="21"/>
      <c r="E7" s="21"/>
      <c r="F7" s="21"/>
      <c r="G7" s="21"/>
      <c r="H7" s="21"/>
    </row>
    <row r="8" spans="1:8">
      <c r="A8" s="21"/>
      <c r="B8" s="21"/>
      <c r="C8" s="21"/>
      <c r="D8" s="21"/>
      <c r="E8" s="21"/>
      <c r="F8" s="21"/>
      <c r="G8" s="21"/>
      <c r="H8" s="21"/>
    </row>
    <row r="9" spans="1:8">
      <c r="A9" s="24" t="s">
        <v>6</v>
      </c>
      <c r="B9" s="21"/>
      <c r="C9" s="21"/>
      <c r="D9" s="21"/>
      <c r="E9" s="24" t="str">
        <f>"THU CHI THEO THÁNG - NĂM "&amp;B3</f>
        <v>THU CHI THEO THÁNG - NĂM 2026</v>
      </c>
      <c r="F9" s="21"/>
      <c r="G9" s="21"/>
      <c r="H9" s="21"/>
    </row>
    <row r="10" spans="1:8">
      <c r="A10" s="5" t="s">
        <v>7</v>
      </c>
      <c r="B10" s="25">
        <f>TaiKhoan!I22</f>
        <v>0</v>
      </c>
      <c r="C10" s="21"/>
      <c r="D10" s="21"/>
      <c r="E10" s="4" t="s">
        <v>3</v>
      </c>
      <c r="F10" s="4" t="s">
        <v>8</v>
      </c>
      <c r="G10" s="4" t="s">
        <v>9</v>
      </c>
      <c r="H10" s="4" t="s">
        <v>10</v>
      </c>
    </row>
    <row r="11" spans="1:8">
      <c r="A11" s="5" t="s">
        <v>11</v>
      </c>
      <c r="B11" s="13">
        <f>SUMIFS(GiaoDich!$D:$D,GiaoDich!$C:$C,"Thu",GiaoDich!$B:$B,"&gt;="&amp;$B$6,GiaoDich!$B:$B,"&lt;"&amp;$B$7)</f>
        <v>0</v>
      </c>
      <c r="C11" s="21"/>
      <c r="D11" s="21"/>
      <c r="E11" s="26">
        <v>1</v>
      </c>
      <c r="F11" s="12">
        <f>SUMIFS(GiaoDich!$D:$D,GiaoDich!$C:$C,"Thu",GiaoDich!$B:$B,"&gt;="&amp;DATE($B$3,$E11,1),GiaoDich!$B:$B,"&lt;"&amp;DATE($B$3,$E11+1,1))</f>
        <v>0</v>
      </c>
      <c r="G11" s="12">
        <f>SUMIFS(GiaoDich!$D:$D,GiaoDich!$C:$C,"Chi",GiaoDich!$B:$B,"&gt;="&amp;DATE($B$3,$E11,1),GiaoDich!$B:$B,"&lt;"&amp;DATE($B$3,$E11+1,1))</f>
        <v>0</v>
      </c>
      <c r="H11" s="12">
        <f t="shared" ref="H11:H22" si="0">F11-G11</f>
        <v>0</v>
      </c>
    </row>
    <row r="12" spans="1:8">
      <c r="A12" s="5" t="s">
        <v>12</v>
      </c>
      <c r="B12" s="13">
        <f>SUMIFS(GiaoDich!$D:$D,GiaoDich!$C:$C,"Chi",GiaoDich!$B:$B,"&gt;="&amp;$B$6,GiaoDich!$B:$B,"&lt;"&amp;$B$7)</f>
        <v>0</v>
      </c>
      <c r="C12" s="21"/>
      <c r="D12" s="21"/>
      <c r="E12" s="26">
        <v>2</v>
      </c>
      <c r="F12" s="12">
        <f>SUMIFS(GiaoDich!$D:$D,GiaoDich!$C:$C,"Thu",GiaoDich!$B:$B,"&gt;="&amp;DATE($B$3,$E12,1),GiaoDich!$B:$B,"&lt;"&amp;DATE($B$3,$E12+1,1))</f>
        <v>0</v>
      </c>
      <c r="G12" s="12">
        <f>SUMIFS(GiaoDich!$D:$D,GiaoDich!$C:$C,"Chi",GiaoDich!$B:$B,"&gt;="&amp;DATE($B$3,$E12,1),GiaoDich!$B:$B,"&lt;"&amp;DATE($B$3,$E12+1,1))</f>
        <v>0</v>
      </c>
      <c r="H12" s="12">
        <f t="shared" si="0"/>
        <v>0</v>
      </c>
    </row>
    <row r="13" spans="1:8">
      <c r="A13" s="5" t="s">
        <v>13</v>
      </c>
      <c r="B13" s="13">
        <f>B11-B12</f>
        <v>0</v>
      </c>
      <c r="C13" s="21"/>
      <c r="D13" s="21"/>
      <c r="E13" s="26">
        <v>3</v>
      </c>
      <c r="F13" s="12">
        <f>SUMIFS(GiaoDich!$D:$D,GiaoDich!$C:$C,"Thu",GiaoDich!$B:$B,"&gt;="&amp;DATE($B$3,$E13,1),GiaoDich!$B:$B,"&lt;"&amp;DATE($B$3,$E13+1,1))</f>
        <v>0</v>
      </c>
      <c r="G13" s="12">
        <f>SUMIFS(GiaoDich!$D:$D,GiaoDich!$C:$C,"Chi",GiaoDich!$B:$B,"&gt;="&amp;DATE($B$3,$E13,1),GiaoDich!$B:$B,"&lt;"&amp;DATE($B$3,$E13+1,1))</f>
        <v>0</v>
      </c>
      <c r="H13" s="12">
        <f t="shared" si="0"/>
        <v>0</v>
      </c>
    </row>
    <row r="14" spans="1:8">
      <c r="A14" s="5" t="s">
        <v>14</v>
      </c>
      <c r="B14" s="27">
        <f>IF(B11=0,0,B13/B11)</f>
        <v>0</v>
      </c>
      <c r="C14" s="21"/>
      <c r="D14" s="21"/>
      <c r="E14" s="26">
        <v>4</v>
      </c>
      <c r="F14" s="12">
        <f>SUMIFS(GiaoDich!$D:$D,GiaoDich!$C:$C,"Thu",GiaoDich!$B:$B,"&gt;="&amp;DATE($B$3,$E14,1),GiaoDich!$B:$B,"&lt;"&amp;DATE($B$3,$E14+1,1))</f>
        <v>0</v>
      </c>
      <c r="G14" s="12">
        <f>SUMIFS(GiaoDich!$D:$D,GiaoDich!$C:$C,"Chi",GiaoDich!$B:$B,"&gt;="&amp;DATE($B$3,$E14,1),GiaoDich!$B:$B,"&lt;"&amp;DATE($B$3,$E14+1,1))</f>
        <v>0</v>
      </c>
      <c r="H14" s="12">
        <f t="shared" si="0"/>
        <v>0</v>
      </c>
    </row>
    <row r="15" spans="1:8">
      <c r="A15" s="5" t="s">
        <v>15</v>
      </c>
      <c r="B15" s="13">
        <f>SUMIFS(GiaoDich!$D:$D,GiaoDich!$C:$C,"Điều chỉnh",GiaoDich!$B:$B,"&gt;="&amp;$B$6,GiaoDich!$B:$B,"&lt;"&amp;$B$7)</f>
        <v>0</v>
      </c>
      <c r="C15" s="21"/>
      <c r="D15" s="21"/>
      <c r="E15" s="26">
        <v>5</v>
      </c>
      <c r="F15" s="12">
        <f>SUMIFS(GiaoDich!$D:$D,GiaoDich!$C:$C,"Thu",GiaoDich!$B:$B,"&gt;="&amp;DATE($B$3,$E15,1),GiaoDich!$B:$B,"&lt;"&amp;DATE($B$3,$E15+1,1))</f>
        <v>0</v>
      </c>
      <c r="G15" s="12">
        <f>SUMIFS(GiaoDich!$D:$D,GiaoDich!$C:$C,"Chi",GiaoDich!$B:$B,"&gt;="&amp;DATE($B$3,$E15,1),GiaoDich!$B:$B,"&lt;"&amp;DATE($B$3,$E15+1,1))</f>
        <v>0</v>
      </c>
      <c r="H15" s="12">
        <f t="shared" si="0"/>
        <v>0</v>
      </c>
    </row>
    <row r="16" spans="1:8">
      <c r="A16" s="5" t="s">
        <v>16</v>
      </c>
      <c r="B16" s="28">
        <f>COUNTIFS(GiaoDich!$B:$B,"&gt;="&amp;$B$6,GiaoDich!$B:$B,"&lt;"&amp;$B$7)</f>
        <v>0</v>
      </c>
      <c r="C16" s="21"/>
      <c r="D16" s="21"/>
      <c r="E16" s="26">
        <v>6</v>
      </c>
      <c r="F16" s="12">
        <f>SUMIFS(GiaoDich!$D:$D,GiaoDich!$C:$C,"Thu",GiaoDich!$B:$B,"&gt;="&amp;DATE($B$3,$E16,1),GiaoDich!$B:$B,"&lt;"&amp;DATE($B$3,$E16+1,1))</f>
        <v>0</v>
      </c>
      <c r="G16" s="12">
        <f>SUMIFS(GiaoDich!$D:$D,GiaoDich!$C:$C,"Chi",GiaoDich!$B:$B,"&gt;="&amp;DATE($B$3,$E16,1),GiaoDich!$B:$B,"&lt;"&amp;DATE($B$3,$E16+1,1))</f>
        <v>0</v>
      </c>
      <c r="H16" s="12">
        <f t="shared" si="0"/>
        <v>0</v>
      </c>
    </row>
    <row r="17" spans="1:8">
      <c r="A17" s="21"/>
      <c r="B17" s="21"/>
      <c r="C17" s="21"/>
      <c r="D17" s="21"/>
      <c r="E17" s="26">
        <v>7</v>
      </c>
      <c r="F17" s="12">
        <f>SUMIFS(GiaoDich!$D:$D,GiaoDich!$C:$C,"Thu",GiaoDich!$B:$B,"&gt;="&amp;DATE($B$3,$E17,1),GiaoDich!$B:$B,"&lt;"&amp;DATE($B$3,$E17+1,1))</f>
        <v>0</v>
      </c>
      <c r="G17" s="12">
        <f>SUMIFS(GiaoDich!$D:$D,GiaoDich!$C:$C,"Chi",GiaoDich!$B:$B,"&gt;="&amp;DATE($B$3,$E17,1),GiaoDich!$B:$B,"&lt;"&amp;DATE($B$3,$E17+1,1))</f>
        <v>0</v>
      </c>
      <c r="H17" s="12">
        <f t="shared" si="0"/>
        <v>0</v>
      </c>
    </row>
    <row r="18" spans="1:8">
      <c r="A18" s="24" t="s">
        <v>17</v>
      </c>
      <c r="B18" s="21"/>
      <c r="C18" s="21"/>
      <c r="D18" s="21"/>
      <c r="E18" s="26">
        <v>8</v>
      </c>
      <c r="F18" s="12">
        <f>SUMIFS(GiaoDich!$D:$D,GiaoDich!$C:$C,"Thu",GiaoDich!$B:$B,"&gt;="&amp;DATE($B$3,$E18,1),GiaoDich!$B:$B,"&lt;"&amp;DATE($B$3,$E18+1,1))</f>
        <v>0</v>
      </c>
      <c r="G18" s="12">
        <f>SUMIFS(GiaoDich!$D:$D,GiaoDich!$C:$C,"Chi",GiaoDich!$B:$B,"&gt;="&amp;DATE($B$3,$E18,1),GiaoDich!$B:$B,"&lt;"&amp;DATE($B$3,$E18+1,1))</f>
        <v>0</v>
      </c>
      <c r="H18" s="12">
        <f t="shared" si="0"/>
        <v>0</v>
      </c>
    </row>
    <row r="19" spans="1:8">
      <c r="A19" s="4" t="s">
        <v>18</v>
      </c>
      <c r="B19" s="4" t="s">
        <v>19</v>
      </c>
      <c r="C19" s="4" t="s">
        <v>20</v>
      </c>
      <c r="D19" s="21"/>
      <c r="E19" s="26">
        <v>9</v>
      </c>
      <c r="F19" s="12">
        <f>SUMIFS(GiaoDich!$D:$D,GiaoDich!$C:$C,"Thu",GiaoDich!$B:$B,"&gt;="&amp;DATE($B$3,$E19,1),GiaoDich!$B:$B,"&lt;"&amp;DATE($B$3,$E19+1,1))</f>
        <v>0</v>
      </c>
      <c r="G19" s="12">
        <f>SUMIFS(GiaoDich!$D:$D,GiaoDich!$C:$C,"Chi",GiaoDich!$B:$B,"&gt;="&amp;DATE($B$3,$E19,1),GiaoDich!$B:$B,"&lt;"&amp;DATE($B$3,$E19+1,1))</f>
        <v>0</v>
      </c>
      <c r="H19" s="12">
        <f t="shared" si="0"/>
        <v>0</v>
      </c>
    </row>
    <row r="20" spans="1:8">
      <c r="A20" s="29" t="str">
        <f>DanhMuc!E2</f>
        <v>Ăn uống</v>
      </c>
      <c r="B20" s="12">
        <f>SUMIFS(GiaoDich!$D:$D,GiaoDich!$C:$C,"Chi",GiaoDich!$G:$G,A20,GiaoDich!$B:$B,"&gt;="&amp;$B$6,GiaoDich!$B:$B,"&lt;"&amp;$B$7)</f>
        <v>0</v>
      </c>
      <c r="C20" s="30">
        <f t="shared" ref="C20:C34" si="1">IF($B$12=0,0,B20/$B$12)</f>
        <v>0</v>
      </c>
      <c r="D20" s="21"/>
      <c r="E20" s="26">
        <v>10</v>
      </c>
      <c r="F20" s="12">
        <f>SUMIFS(GiaoDich!$D:$D,GiaoDich!$C:$C,"Thu",GiaoDich!$B:$B,"&gt;="&amp;DATE($B$3,$E20,1),GiaoDich!$B:$B,"&lt;"&amp;DATE($B$3,$E20+1,1))</f>
        <v>0</v>
      </c>
      <c r="G20" s="12">
        <f>SUMIFS(GiaoDich!$D:$D,GiaoDich!$C:$C,"Chi",GiaoDich!$B:$B,"&gt;="&amp;DATE($B$3,$E20,1),GiaoDich!$B:$B,"&lt;"&amp;DATE($B$3,$E20+1,1))</f>
        <v>0</v>
      </c>
      <c r="H20" s="12">
        <f t="shared" si="0"/>
        <v>0</v>
      </c>
    </row>
    <row r="21" spans="1:8">
      <c r="A21" s="29" t="str">
        <f>DanhMuc!E3</f>
        <v>Đi lại</v>
      </c>
      <c r="B21" s="12">
        <f>SUMIFS(GiaoDich!$D:$D,GiaoDich!$C:$C,"Chi",GiaoDich!$G:$G,A21,GiaoDich!$B:$B,"&gt;="&amp;$B$6,GiaoDich!$B:$B,"&lt;"&amp;$B$7)</f>
        <v>0</v>
      </c>
      <c r="C21" s="30">
        <f t="shared" si="1"/>
        <v>0</v>
      </c>
      <c r="D21" s="21"/>
      <c r="E21" s="26">
        <v>11</v>
      </c>
      <c r="F21" s="12">
        <f>SUMIFS(GiaoDich!$D:$D,GiaoDich!$C:$C,"Thu",GiaoDich!$B:$B,"&gt;="&amp;DATE($B$3,$E21,1),GiaoDich!$B:$B,"&lt;"&amp;DATE($B$3,$E21+1,1))</f>
        <v>0</v>
      </c>
      <c r="G21" s="12">
        <f>SUMIFS(GiaoDich!$D:$D,GiaoDich!$C:$C,"Chi",GiaoDich!$B:$B,"&gt;="&amp;DATE($B$3,$E21,1),GiaoDich!$B:$B,"&lt;"&amp;DATE($B$3,$E21+1,1))</f>
        <v>0</v>
      </c>
      <c r="H21" s="12">
        <f t="shared" si="0"/>
        <v>0</v>
      </c>
    </row>
    <row r="22" spans="1:8">
      <c r="A22" s="29" t="str">
        <f>DanhMuc!E4</f>
        <v>Nhà cửa</v>
      </c>
      <c r="B22" s="12">
        <f>SUMIFS(GiaoDich!$D:$D,GiaoDich!$C:$C,"Chi",GiaoDich!$G:$G,A22,GiaoDich!$B:$B,"&gt;="&amp;$B$6,GiaoDich!$B:$B,"&lt;"&amp;$B$7)</f>
        <v>0</v>
      </c>
      <c r="C22" s="30">
        <f t="shared" si="1"/>
        <v>0</v>
      </c>
      <c r="D22" s="21"/>
      <c r="E22" s="26">
        <v>12</v>
      </c>
      <c r="F22" s="12">
        <f>SUMIFS(GiaoDich!$D:$D,GiaoDich!$C:$C,"Thu",GiaoDich!$B:$B,"&gt;="&amp;DATE($B$3,$E22,1),GiaoDich!$B:$B,"&lt;"&amp;DATE($B$3,$E22+1,1))</f>
        <v>0</v>
      </c>
      <c r="G22" s="12">
        <f>SUMIFS(GiaoDich!$D:$D,GiaoDich!$C:$C,"Chi",GiaoDich!$B:$B,"&gt;="&amp;DATE($B$3,$E22,1),GiaoDich!$B:$B,"&lt;"&amp;DATE($B$3,$E22+1,1))</f>
        <v>0</v>
      </c>
      <c r="H22" s="12">
        <f t="shared" si="0"/>
        <v>0</v>
      </c>
    </row>
    <row r="23" spans="1:8">
      <c r="A23" s="29" t="str">
        <f>DanhMuc!E5</f>
        <v>Gia đình</v>
      </c>
      <c r="B23" s="12">
        <f>SUMIFS(GiaoDich!$D:$D,GiaoDich!$C:$C,"Chi",GiaoDich!$G:$G,A23,GiaoDich!$B:$B,"&gt;="&amp;$B$6,GiaoDich!$B:$B,"&lt;"&amp;$B$7)</f>
        <v>0</v>
      </c>
      <c r="C23" s="30">
        <f t="shared" si="1"/>
        <v>0</v>
      </c>
      <c r="D23" s="21"/>
      <c r="E23" s="31" t="s">
        <v>21</v>
      </c>
      <c r="F23" s="32">
        <f>SUM(F11:F22)</f>
        <v>0</v>
      </c>
      <c r="G23" s="32">
        <f>SUM(G11:G22)</f>
        <v>0</v>
      </c>
      <c r="H23" s="32">
        <f>SUM(H11:H22)</f>
        <v>0</v>
      </c>
    </row>
    <row r="24" spans="1:8">
      <c r="A24" s="29" t="str">
        <f>DanhMuc!E6</f>
        <v>Hiếu hỉ</v>
      </c>
      <c r="B24" s="12">
        <f>SUMIFS(GiaoDich!$D:$D,GiaoDich!$C:$C,"Chi",GiaoDich!$G:$G,A24,GiaoDich!$B:$B,"&gt;="&amp;$B$6,GiaoDich!$B:$B,"&lt;"&amp;$B$7)</f>
        <v>0</v>
      </c>
      <c r="C24" s="30">
        <f t="shared" si="1"/>
        <v>0</v>
      </c>
      <c r="D24" s="21"/>
      <c r="E24" s="21"/>
      <c r="F24" s="21"/>
      <c r="G24" s="21"/>
      <c r="H24" s="21"/>
    </row>
    <row r="25" spans="1:8">
      <c r="A25" s="29" t="str">
        <f>DanhMuc!E7</f>
        <v>Học tập</v>
      </c>
      <c r="B25" s="12">
        <f>SUMIFS(GiaoDich!$D:$D,GiaoDich!$C:$C,"Chi",GiaoDich!$G:$G,A25,GiaoDich!$B:$B,"&gt;="&amp;$B$6,GiaoDich!$B:$B,"&lt;"&amp;$B$7)</f>
        <v>0</v>
      </c>
      <c r="C25" s="30">
        <f t="shared" si="1"/>
        <v>0</v>
      </c>
      <c r="D25" s="21"/>
      <c r="E25" s="21"/>
      <c r="F25" s="21"/>
      <c r="G25" s="21"/>
      <c r="H25" s="21"/>
    </row>
    <row r="26" spans="1:8">
      <c r="A26" s="29" t="str">
        <f>DanhMuc!E8</f>
        <v>Giải trí</v>
      </c>
      <c r="B26" s="12">
        <f>SUMIFS(GiaoDich!$D:$D,GiaoDich!$C:$C,"Chi",GiaoDich!$G:$G,A26,GiaoDich!$B:$B,"&gt;="&amp;$B$6,GiaoDich!$B:$B,"&lt;"&amp;$B$7)</f>
        <v>0</v>
      </c>
      <c r="C26" s="30">
        <f t="shared" si="1"/>
        <v>0</v>
      </c>
      <c r="D26" s="21"/>
      <c r="E26" s="21"/>
      <c r="F26" s="21"/>
      <c r="G26" s="21"/>
      <c r="H26" s="21"/>
    </row>
    <row r="27" spans="1:8">
      <c r="A27" s="29" t="str">
        <f>DanhMuc!E9</f>
        <v>Mua sắm</v>
      </c>
      <c r="B27" s="12">
        <f>SUMIFS(GiaoDich!$D:$D,GiaoDich!$C:$C,"Chi",GiaoDich!$G:$G,A27,GiaoDich!$B:$B,"&gt;="&amp;$B$6,GiaoDich!$B:$B,"&lt;"&amp;$B$7)</f>
        <v>0</v>
      </c>
      <c r="C27" s="30">
        <f t="shared" si="1"/>
        <v>0</v>
      </c>
      <c r="D27" s="21"/>
      <c r="E27" s="21"/>
      <c r="F27" s="21"/>
      <c r="G27" s="21"/>
      <c r="H27" s="21"/>
    </row>
    <row r="28" spans="1:8">
      <c r="A28" s="29" t="str">
        <f>DanhMuc!E10</f>
        <v>Sức khỏe</v>
      </c>
      <c r="B28" s="12">
        <f>SUMIFS(GiaoDich!$D:$D,GiaoDich!$C:$C,"Chi",GiaoDich!$G:$G,A28,GiaoDich!$B:$B,"&gt;="&amp;$B$6,GiaoDich!$B:$B,"&lt;"&amp;$B$7)</f>
        <v>0</v>
      </c>
      <c r="C28" s="30">
        <f t="shared" si="1"/>
        <v>0</v>
      </c>
      <c r="D28" s="21"/>
      <c r="E28" s="21"/>
      <c r="F28" s="21"/>
      <c r="G28" s="21"/>
      <c r="H28" s="21"/>
    </row>
    <row r="29" spans="1:8">
      <c r="A29" s="29" t="str">
        <f>DanhMuc!E11</f>
        <v>Liên lạc</v>
      </c>
      <c r="B29" s="12">
        <f>SUMIFS(GiaoDich!$D:$D,GiaoDich!$C:$C,"Chi",GiaoDich!$G:$G,A29,GiaoDich!$B:$B,"&gt;="&amp;$B$6,GiaoDich!$B:$B,"&lt;"&amp;$B$7)</f>
        <v>0</v>
      </c>
      <c r="C29" s="30">
        <f t="shared" si="1"/>
        <v>0</v>
      </c>
      <c r="D29" s="21"/>
      <c r="E29" s="21"/>
      <c r="F29" s="21"/>
      <c r="G29" s="21"/>
      <c r="H29" s="21"/>
    </row>
    <row r="30" spans="1:8">
      <c r="A30" s="29" t="str">
        <f>DanhMuc!E12</f>
        <v>Tài chính</v>
      </c>
      <c r="B30" s="12">
        <f>SUMIFS(GiaoDich!$D:$D,GiaoDich!$C:$C,"Chi",GiaoDich!$G:$G,A30,GiaoDich!$B:$B,"&gt;="&amp;$B$6,GiaoDich!$B:$B,"&lt;"&amp;$B$7)</f>
        <v>0</v>
      </c>
      <c r="C30" s="30">
        <f t="shared" si="1"/>
        <v>0</v>
      </c>
      <c r="D30" s="21"/>
      <c r="E30" s="21"/>
      <c r="F30" s="21"/>
      <c r="G30" s="21"/>
      <c r="H30" s="21"/>
    </row>
    <row r="31" spans="1:8">
      <c r="A31" s="29" t="str">
        <f>DanhMuc!E13</f>
        <v>Trả nợ</v>
      </c>
      <c r="B31" s="12">
        <f>SUMIFS(GiaoDich!$D:$D,GiaoDich!$C:$C,"Chi",GiaoDich!$G:$G,A31,GiaoDich!$B:$B,"&gt;="&amp;$B$6,GiaoDich!$B:$B,"&lt;"&amp;$B$7)</f>
        <v>0</v>
      </c>
      <c r="C31" s="30">
        <f t="shared" si="1"/>
        <v>0</v>
      </c>
      <c r="D31" s="21"/>
      <c r="E31" s="21"/>
      <c r="F31" s="21"/>
      <c r="G31" s="21"/>
      <c r="H31" s="21"/>
    </row>
    <row r="32" spans="1:8">
      <c r="A32" s="29" t="str">
        <f>DanhMuc!E14</f>
        <v>Khác</v>
      </c>
      <c r="B32" s="12">
        <f>SUMIFS(GiaoDich!$D:$D,GiaoDich!$C:$C,"Chi",GiaoDich!$G:$G,A32,GiaoDich!$B:$B,"&gt;="&amp;$B$6,GiaoDich!$B:$B,"&lt;"&amp;$B$7)</f>
        <v>0</v>
      </c>
      <c r="C32" s="30">
        <f t="shared" si="1"/>
        <v>0</v>
      </c>
      <c r="D32" s="21"/>
      <c r="E32" s="21"/>
      <c r="F32" s="21"/>
      <c r="G32" s="21"/>
      <c r="H32" s="21"/>
    </row>
    <row r="33" spans="1:8">
      <c r="A33" s="33" t="s">
        <v>22</v>
      </c>
      <c r="B33" s="12">
        <f>$B$12-SUM(B20:B32)</f>
        <v>0</v>
      </c>
      <c r="C33" s="30">
        <f t="shared" si="1"/>
        <v>0</v>
      </c>
      <c r="D33" s="21"/>
      <c r="E33" s="21"/>
      <c r="F33" s="21"/>
      <c r="G33" s="21"/>
      <c r="H33" s="21"/>
    </row>
    <row r="34" spans="1:8">
      <c r="A34" s="31" t="s">
        <v>23</v>
      </c>
      <c r="B34" s="32">
        <f>SUM(B20:B33)</f>
        <v>0</v>
      </c>
      <c r="C34" s="34">
        <f t="shared" si="1"/>
        <v>0</v>
      </c>
      <c r="D34" s="21"/>
      <c r="E34" s="21"/>
      <c r="F34" s="21"/>
      <c r="G34" s="21"/>
      <c r="H34" s="21"/>
    </row>
    <row r="35" spans="1:8">
      <c r="A35" s="21"/>
      <c r="B35" s="21"/>
      <c r="C35" s="21"/>
      <c r="D35" s="21"/>
      <c r="E35" s="21"/>
      <c r="F35" s="21"/>
      <c r="G35" s="21"/>
      <c r="H35" s="21"/>
    </row>
    <row r="36" spans="1:8">
      <c r="A36" s="24" t="s">
        <v>24</v>
      </c>
      <c r="B36" s="21"/>
      <c r="C36" s="21"/>
      <c r="D36" s="21"/>
      <c r="E36" s="21"/>
      <c r="F36" s="21"/>
      <c r="G36" s="21"/>
      <c r="H36" s="21"/>
    </row>
    <row r="37" spans="1:8">
      <c r="A37" s="4" t="s">
        <v>18</v>
      </c>
      <c r="B37" s="4" t="s">
        <v>19</v>
      </c>
      <c r="C37" s="4" t="s">
        <v>20</v>
      </c>
      <c r="D37" s="21"/>
      <c r="E37" s="21"/>
      <c r="F37" s="21"/>
      <c r="G37" s="21"/>
      <c r="H37" s="21"/>
    </row>
    <row r="38" spans="1:8">
      <c r="A38" s="29" t="str">
        <f>DanhMuc!E15</f>
        <v>Lương</v>
      </c>
      <c r="B38" s="12">
        <f>SUMIFS(GiaoDich!$D:$D,GiaoDich!$C:$C,"Thu",GiaoDich!$G:$G,A38,GiaoDich!$B:$B,"&gt;="&amp;$B$6,GiaoDich!$B:$B,"&lt;"&amp;$B$7)</f>
        <v>0</v>
      </c>
      <c r="C38" s="30">
        <f t="shared" ref="C38:C45" si="2">IF($B$11=0,0,B38/$B$11)</f>
        <v>0</v>
      </c>
      <c r="D38" s="21"/>
      <c r="E38" s="21"/>
      <c r="F38" s="21"/>
      <c r="G38" s="21"/>
      <c r="H38" s="21"/>
    </row>
    <row r="39" spans="1:8">
      <c r="A39" s="29" t="str">
        <f>DanhMuc!E16</f>
        <v>Thưởng</v>
      </c>
      <c r="B39" s="12">
        <f>SUMIFS(GiaoDich!$D:$D,GiaoDich!$C:$C,"Thu",GiaoDich!$G:$G,A39,GiaoDich!$B:$B,"&gt;="&amp;$B$6,GiaoDich!$B:$B,"&lt;"&amp;$B$7)</f>
        <v>0</v>
      </c>
      <c r="C39" s="30">
        <f t="shared" si="2"/>
        <v>0</v>
      </c>
      <c r="D39" s="21"/>
      <c r="E39" s="21"/>
      <c r="F39" s="21"/>
      <c r="G39" s="21"/>
      <c r="H39" s="21"/>
    </row>
    <row r="40" spans="1:8">
      <c r="A40" s="29" t="str">
        <f>DanhMuc!E17</f>
        <v>Làm thêm</v>
      </c>
      <c r="B40" s="12">
        <f>SUMIFS(GiaoDich!$D:$D,GiaoDich!$C:$C,"Thu",GiaoDich!$G:$G,A40,GiaoDich!$B:$B,"&gt;="&amp;$B$6,GiaoDich!$B:$B,"&lt;"&amp;$B$7)</f>
        <v>0</v>
      </c>
      <c r="C40" s="30">
        <f t="shared" si="2"/>
        <v>0</v>
      </c>
      <c r="D40" s="21"/>
      <c r="E40" s="21"/>
      <c r="F40" s="21"/>
      <c r="G40" s="21"/>
      <c r="H40" s="21"/>
    </row>
    <row r="41" spans="1:8">
      <c r="A41" s="29" t="str">
        <f>DanhMuc!E18</f>
        <v>Đầu tư &amp; lãi</v>
      </c>
      <c r="B41" s="12">
        <f>SUMIFS(GiaoDich!$D:$D,GiaoDich!$C:$C,"Thu",GiaoDich!$G:$G,A41,GiaoDich!$B:$B,"&gt;="&amp;$B$6,GiaoDich!$B:$B,"&lt;"&amp;$B$7)</f>
        <v>0</v>
      </c>
      <c r="C41" s="30">
        <f t="shared" si="2"/>
        <v>0</v>
      </c>
      <c r="D41" s="21"/>
      <c r="E41" s="21"/>
      <c r="F41" s="21"/>
      <c r="G41" s="21"/>
      <c r="H41" s="21"/>
    </row>
    <row r="42" spans="1:8">
      <c r="A42" s="29" t="str">
        <f>DanhMuc!E19</f>
        <v>Quà tặng</v>
      </c>
      <c r="B42" s="12">
        <f>SUMIFS(GiaoDich!$D:$D,GiaoDich!$C:$C,"Thu",GiaoDich!$G:$G,A42,GiaoDich!$B:$B,"&gt;="&amp;$B$6,GiaoDich!$B:$B,"&lt;"&amp;$B$7)</f>
        <v>0</v>
      </c>
      <c r="C42" s="30">
        <f t="shared" si="2"/>
        <v>0</v>
      </c>
      <c r="D42" s="21"/>
      <c r="E42" s="21"/>
      <c r="F42" s="21"/>
      <c r="G42" s="21"/>
      <c r="H42" s="21"/>
    </row>
    <row r="43" spans="1:8">
      <c r="A43" s="29" t="str">
        <f>DanhMuc!E20</f>
        <v>Thu khác</v>
      </c>
      <c r="B43" s="12">
        <f>SUMIFS(GiaoDich!$D:$D,GiaoDich!$C:$C,"Thu",GiaoDich!$G:$G,A43,GiaoDich!$B:$B,"&gt;="&amp;$B$6,GiaoDich!$B:$B,"&lt;"&amp;$B$7)</f>
        <v>0</v>
      </c>
      <c r="C43" s="30">
        <f t="shared" si="2"/>
        <v>0</v>
      </c>
      <c r="D43" s="21"/>
      <c r="E43" s="21"/>
      <c r="F43" s="21"/>
      <c r="G43" s="21"/>
      <c r="H43" s="21"/>
    </row>
    <row r="44" spans="1:8">
      <c r="A44" s="33" t="s">
        <v>22</v>
      </c>
      <c r="B44" s="12">
        <f>$B$11-SUM(B38:B43)</f>
        <v>0</v>
      </c>
      <c r="C44" s="30">
        <f t="shared" si="2"/>
        <v>0</v>
      </c>
      <c r="D44" s="21"/>
      <c r="E44" s="21"/>
      <c r="F44" s="21"/>
      <c r="G44" s="21"/>
      <c r="H44" s="21"/>
    </row>
    <row r="45" spans="1:8">
      <c r="A45" s="31" t="s">
        <v>25</v>
      </c>
      <c r="B45" s="32">
        <f>SUM(B38:B44)</f>
        <v>0</v>
      </c>
      <c r="C45" s="34">
        <f t="shared" si="2"/>
        <v>0</v>
      </c>
      <c r="D45" s="21"/>
      <c r="E45" s="21"/>
      <c r="F45" s="21"/>
      <c r="G45" s="21"/>
      <c r="H45" s="21"/>
    </row>
    <row r="46" spans="1:8">
      <c r="A46" s="21"/>
      <c r="B46" s="21"/>
      <c r="C46" s="21"/>
      <c r="D46" s="21"/>
      <c r="E46" s="21"/>
      <c r="F46" s="21"/>
      <c r="G46" s="21"/>
      <c r="H46" s="21"/>
    </row>
    <row r="47" spans="1:8">
      <c r="A47" s="21"/>
      <c r="B47" s="21"/>
      <c r="C47" s="21"/>
      <c r="D47" s="21"/>
      <c r="E47" s="21"/>
      <c r="F47" s="21"/>
      <c r="G47" s="21"/>
      <c r="H47" s="21"/>
    </row>
    <row r="48" spans="1:8">
      <c r="A48" s="21"/>
      <c r="B48" s="21"/>
      <c r="C48" s="21"/>
      <c r="D48" s="21"/>
      <c r="E48" s="21"/>
      <c r="F48" s="21"/>
      <c r="G48" s="21"/>
      <c r="H48" s="21"/>
    </row>
    <row r="49" spans="1:8">
      <c r="A49" s="21"/>
      <c r="B49" s="21"/>
      <c r="C49" s="21"/>
      <c r="D49" s="21"/>
      <c r="E49" s="21"/>
      <c r="F49" s="21"/>
      <c r="G49" s="21"/>
      <c r="H49" s="21"/>
    </row>
    <row r="50" spans="1:8">
      <c r="A50" s="21"/>
      <c r="B50" s="21"/>
      <c r="C50" s="21"/>
      <c r="D50" s="21"/>
      <c r="E50" s="21"/>
      <c r="F50" s="21"/>
      <c r="G50" s="21"/>
      <c r="H50" s="21"/>
    </row>
  </sheetData>
  <dataValidations count="2">
    <dataValidation type="whole" operator="between" sqref="B3">
      <formula1>2000</formula1>
      <formula2>2100</formula2>
    </dataValidation>
    <dataValidation type="list" sqref="B4">
      <formula1>"1,2,3,4,5,6,7,8,9,10,11,12"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8.67592592592593" defaultRowHeight="14.4"/>
  <cols>
    <col min="1" max="1" width="10" customWidth="1"/>
    <col min="2" max="2" width="13" customWidth="1"/>
    <col min="3" max="3" width="14" customWidth="1"/>
    <col min="4" max="4" width="16" customWidth="1"/>
    <col min="5" max="5" width="18" customWidth="1"/>
    <col min="6" max="6" width="22" customWidth="1"/>
    <col min="7" max="7" width="18" customWidth="1"/>
    <col min="8" max="8" width="26" customWidth="1"/>
    <col min="9" max="9" width="34" customWidth="1"/>
    <col min="10" max="10" width="18" customWidth="1"/>
  </cols>
  <sheetData>
    <row r="1" ht="42" customHeight="1" spans="1:10">
      <c r="A1" s="4" t="s">
        <v>26</v>
      </c>
      <c r="B1" s="4" t="s">
        <v>27</v>
      </c>
      <c r="C1" s="4" t="s">
        <v>28</v>
      </c>
      <c r="D1" s="4" t="s">
        <v>19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10">
      <c r="B2" s="18"/>
      <c r="D2" s="19"/>
      <c r="J2" s="20"/>
    </row>
    <row r="3" spans="1:10">
      <c r="B3" s="18"/>
      <c r="D3" s="19"/>
      <c r="J3" s="20"/>
    </row>
    <row r="4" spans="1:10">
      <c r="B4" s="18"/>
      <c r="D4" s="19"/>
      <c r="J4" s="20"/>
    </row>
    <row r="5" spans="1:10">
      <c r="B5" s="18"/>
      <c r="D5" s="19"/>
      <c r="J5" s="20"/>
    </row>
    <row r="6" spans="1:10">
      <c r="B6" s="18"/>
      <c r="D6" s="19"/>
      <c r="J6" s="20"/>
    </row>
    <row r="7" spans="1:10">
      <c r="B7" s="18"/>
      <c r="D7" s="19"/>
      <c r="J7" s="20"/>
    </row>
    <row r="8" spans="1:10">
      <c r="B8" s="18"/>
      <c r="D8" s="19"/>
      <c r="J8" s="20"/>
    </row>
    <row r="9" spans="1:10">
      <c r="B9" s="18"/>
      <c r="D9" s="19"/>
      <c r="J9" s="20"/>
    </row>
    <row r="10" spans="1:10">
      <c r="B10" s="18"/>
      <c r="D10" s="19"/>
      <c r="J10" s="20"/>
    </row>
    <row r="11" spans="1:10">
      <c r="B11" s="18"/>
      <c r="D11" s="19"/>
      <c r="J11" s="20"/>
    </row>
    <row r="12" spans="1:10">
      <c r="B12" s="18"/>
      <c r="D12" s="19"/>
      <c r="J12" s="20"/>
    </row>
    <row r="13" spans="1:10">
      <c r="B13" s="18"/>
      <c r="D13" s="19"/>
      <c r="J13" s="20"/>
    </row>
    <row r="14" spans="1:10">
      <c r="B14" s="18"/>
      <c r="D14" s="19"/>
      <c r="J14" s="20"/>
    </row>
    <row r="15" spans="1:10">
      <c r="B15" s="18"/>
      <c r="D15" s="19"/>
      <c r="J15" s="20"/>
    </row>
    <row r="16" spans="1:10">
      <c r="B16" s="18"/>
      <c r="D16" s="19"/>
      <c r="J16" s="20"/>
    </row>
    <row r="17" spans="2:10">
      <c r="B17" s="18"/>
      <c r="D17" s="19"/>
      <c r="J17" s="20"/>
    </row>
    <row r="18" spans="2:10">
      <c r="B18" s="18"/>
      <c r="D18" s="19"/>
      <c r="J18" s="20"/>
    </row>
    <row r="19" spans="2:10">
      <c r="B19" s="18"/>
      <c r="D19" s="19"/>
      <c r="J19" s="20"/>
    </row>
    <row r="20" spans="2:10">
      <c r="B20" s="18"/>
      <c r="D20" s="19"/>
      <c r="J20" s="20"/>
    </row>
    <row r="21" spans="2:10">
      <c r="B21" s="18"/>
      <c r="D21" s="19"/>
      <c r="J21" s="20"/>
    </row>
    <row r="22" spans="2:10">
      <c r="B22" s="18"/>
      <c r="D22" s="19"/>
      <c r="J22" s="20"/>
    </row>
    <row r="23" spans="2:10">
      <c r="B23" s="18"/>
      <c r="D23" s="19"/>
      <c r="J23" s="20"/>
    </row>
    <row r="24" spans="2:10">
      <c r="B24" s="18"/>
      <c r="D24" s="19"/>
      <c r="J24" s="20"/>
    </row>
    <row r="25" spans="2:10">
      <c r="B25" s="18"/>
      <c r="D25" s="19"/>
      <c r="J25" s="20"/>
    </row>
    <row r="26" spans="2:10">
      <c r="B26" s="18"/>
      <c r="D26" s="19"/>
      <c r="J26" s="20"/>
    </row>
    <row r="27" spans="2:10">
      <c r="B27" s="18"/>
      <c r="D27" s="19"/>
      <c r="J27" s="20"/>
    </row>
    <row r="28" spans="2:10">
      <c r="B28" s="18"/>
      <c r="D28" s="19"/>
      <c r="J28" s="20"/>
    </row>
    <row r="29" spans="2:10">
      <c r="B29" s="18"/>
      <c r="D29" s="19"/>
      <c r="J29" s="20"/>
    </row>
    <row r="30" spans="2:10">
      <c r="B30" s="18"/>
      <c r="D30" s="19"/>
      <c r="J30" s="20"/>
    </row>
    <row r="31" spans="2:10">
      <c r="B31" s="18"/>
      <c r="D31" s="19"/>
      <c r="J31" s="20"/>
    </row>
    <row r="32" spans="2:10">
      <c r="B32" s="18"/>
      <c r="D32" s="19"/>
      <c r="J32" s="20"/>
    </row>
    <row r="33" spans="2:10">
      <c r="B33" s="18"/>
      <c r="D33" s="19"/>
      <c r="J33" s="20"/>
    </row>
    <row r="34" spans="2:10">
      <c r="B34" s="18"/>
      <c r="D34" s="19"/>
      <c r="J34" s="20"/>
    </row>
    <row r="35" spans="2:10">
      <c r="B35" s="18"/>
      <c r="D35" s="19"/>
      <c r="J35" s="20"/>
    </row>
    <row r="36" spans="2:10">
      <c r="B36" s="18"/>
      <c r="D36" s="19"/>
      <c r="J36" s="20"/>
    </row>
    <row r="37" spans="2:10">
      <c r="B37" s="18"/>
      <c r="D37" s="19"/>
      <c r="J37" s="20"/>
    </row>
    <row r="38" spans="2:10">
      <c r="B38" s="18"/>
      <c r="D38" s="19"/>
      <c r="J38" s="20"/>
    </row>
    <row r="39" spans="2:10">
      <c r="B39" s="18"/>
      <c r="D39" s="19"/>
      <c r="J39" s="20"/>
    </row>
    <row r="40" spans="2:10">
      <c r="B40" s="18"/>
      <c r="D40" s="19"/>
      <c r="J40" s="20"/>
    </row>
    <row r="41" spans="2:10">
      <c r="B41" s="18"/>
      <c r="D41" s="19"/>
      <c r="J41" s="20"/>
    </row>
    <row r="42" spans="2:10">
      <c r="B42" s="18"/>
      <c r="D42" s="19"/>
      <c r="J42" s="20"/>
    </row>
    <row r="43" spans="2:10">
      <c r="B43" s="18"/>
      <c r="D43" s="19"/>
      <c r="J43" s="20"/>
    </row>
    <row r="44" spans="2:10">
      <c r="B44" s="18"/>
      <c r="D44" s="19"/>
      <c r="J44" s="20"/>
    </row>
    <row r="45" spans="2:10">
      <c r="B45" s="18"/>
      <c r="D45" s="19"/>
      <c r="J45" s="20"/>
    </row>
    <row r="46" spans="2:10">
      <c r="B46" s="18"/>
      <c r="D46" s="19"/>
      <c r="J46" s="20"/>
    </row>
    <row r="47" spans="2:10">
      <c r="B47" s="18"/>
      <c r="D47" s="19"/>
      <c r="J47" s="20"/>
    </row>
    <row r="48" spans="2:10">
      <c r="B48" s="18"/>
      <c r="D48" s="19"/>
      <c r="J48" s="20"/>
    </row>
    <row r="49" spans="2:10">
      <c r="B49" s="18"/>
      <c r="D49" s="19"/>
      <c r="J49" s="20"/>
    </row>
    <row r="50" spans="2:10">
      <c r="B50" s="18"/>
      <c r="D50" s="19"/>
      <c r="J50" s="20"/>
    </row>
    <row r="51" spans="2:10">
      <c r="B51" s="18"/>
      <c r="D51" s="19"/>
      <c r="J51" s="20"/>
    </row>
    <row r="52" spans="2:10">
      <c r="B52" s="18"/>
      <c r="D52" s="19"/>
      <c r="J52" s="20"/>
    </row>
    <row r="53" spans="2:10">
      <c r="B53" s="18"/>
      <c r="D53" s="19"/>
      <c r="J53" s="20"/>
    </row>
    <row r="54" spans="2:10">
      <c r="B54" s="18"/>
      <c r="D54" s="19"/>
      <c r="J54" s="20"/>
    </row>
    <row r="55" spans="2:10">
      <c r="B55" s="18"/>
      <c r="D55" s="19"/>
      <c r="J55" s="20"/>
    </row>
    <row r="56" spans="2:10">
      <c r="B56" s="18"/>
      <c r="D56" s="19"/>
      <c r="J56" s="20"/>
    </row>
    <row r="57" spans="2:10">
      <c r="B57" s="18"/>
      <c r="D57" s="19"/>
      <c r="J57" s="20"/>
    </row>
    <row r="58" spans="2:10">
      <c r="B58" s="18"/>
      <c r="D58" s="19"/>
      <c r="J58" s="20"/>
    </row>
    <row r="59" spans="2:10">
      <c r="B59" s="18"/>
      <c r="D59" s="19"/>
      <c r="J59" s="20"/>
    </row>
    <row r="60" spans="2:10">
      <c r="B60" s="18"/>
      <c r="D60" s="19"/>
      <c r="J60" s="20"/>
    </row>
    <row r="61" spans="2:10">
      <c r="B61" s="18"/>
      <c r="D61" s="19"/>
      <c r="J61" s="20"/>
    </row>
    <row r="62" spans="2:10">
      <c r="B62" s="18"/>
      <c r="D62" s="19"/>
      <c r="J62" s="20"/>
    </row>
    <row r="63" spans="2:10">
      <c r="B63" s="18"/>
      <c r="D63" s="19"/>
      <c r="J63" s="20"/>
    </row>
    <row r="64" spans="2:10">
      <c r="B64" s="18"/>
      <c r="D64" s="19"/>
      <c r="J64" s="20"/>
    </row>
    <row r="65" spans="2:10">
      <c r="B65" s="18"/>
      <c r="D65" s="19"/>
      <c r="J65" s="20"/>
    </row>
    <row r="66" spans="2:10">
      <c r="B66" s="18"/>
      <c r="D66" s="19"/>
      <c r="J66" s="20"/>
    </row>
    <row r="67" spans="2:10">
      <c r="B67" s="18"/>
      <c r="D67" s="19"/>
      <c r="J67" s="20"/>
    </row>
    <row r="68" spans="2:10">
      <c r="B68" s="18"/>
      <c r="D68" s="19"/>
      <c r="J68" s="20"/>
    </row>
    <row r="69" spans="2:10">
      <c r="B69" s="18"/>
      <c r="D69" s="19"/>
      <c r="J69" s="20"/>
    </row>
    <row r="70" spans="2:10">
      <c r="B70" s="18"/>
      <c r="D70" s="19"/>
      <c r="J70" s="20"/>
    </row>
    <row r="71" spans="2:10">
      <c r="B71" s="18"/>
      <c r="D71" s="19"/>
      <c r="J71" s="20"/>
    </row>
    <row r="72" spans="2:10">
      <c r="B72" s="18"/>
      <c r="D72" s="19"/>
      <c r="J72" s="20"/>
    </row>
    <row r="73" spans="2:10">
      <c r="B73" s="18"/>
      <c r="D73" s="19"/>
      <c r="J73" s="20"/>
    </row>
    <row r="74" spans="2:10">
      <c r="B74" s="18"/>
      <c r="D74" s="19"/>
      <c r="J74" s="20"/>
    </row>
    <row r="75" spans="2:10">
      <c r="B75" s="18"/>
      <c r="D75" s="19"/>
      <c r="J75" s="20"/>
    </row>
    <row r="76" spans="2:10">
      <c r="B76" s="18"/>
      <c r="D76" s="19"/>
      <c r="J76" s="20"/>
    </row>
    <row r="77" spans="2:10">
      <c r="B77" s="18"/>
      <c r="D77" s="19"/>
      <c r="J77" s="20"/>
    </row>
    <row r="78" spans="2:10">
      <c r="B78" s="18"/>
      <c r="D78" s="19"/>
      <c r="J78" s="20"/>
    </row>
    <row r="79" spans="2:10">
      <c r="B79" s="18"/>
      <c r="D79" s="19"/>
      <c r="J79" s="20"/>
    </row>
    <row r="80" spans="2:10">
      <c r="B80" s="18"/>
      <c r="D80" s="19"/>
      <c r="J80" s="20"/>
    </row>
    <row r="81" spans="2:10">
      <c r="B81" s="18"/>
      <c r="D81" s="19"/>
      <c r="J81" s="20"/>
    </row>
    <row r="82" spans="2:10">
      <c r="B82" s="18"/>
      <c r="D82" s="19"/>
      <c r="J82" s="20"/>
    </row>
    <row r="83" spans="2:10">
      <c r="B83" s="18"/>
      <c r="D83" s="19"/>
      <c r="J83" s="20"/>
    </row>
    <row r="84" spans="2:10">
      <c r="B84" s="18"/>
      <c r="D84" s="19"/>
      <c r="J84" s="20"/>
    </row>
    <row r="85" spans="2:10">
      <c r="B85" s="18"/>
      <c r="D85" s="19"/>
      <c r="J85" s="20"/>
    </row>
    <row r="86" spans="2:10">
      <c r="B86" s="18"/>
      <c r="D86" s="19"/>
      <c r="J86" s="20"/>
    </row>
    <row r="87" spans="2:10">
      <c r="B87" s="18"/>
      <c r="D87" s="19"/>
      <c r="J87" s="20"/>
    </row>
    <row r="88" spans="2:10">
      <c r="B88" s="18"/>
      <c r="D88" s="19"/>
      <c r="J88" s="20"/>
    </row>
    <row r="89" spans="2:10">
      <c r="B89" s="18"/>
      <c r="D89" s="19"/>
      <c r="J89" s="20"/>
    </row>
    <row r="90" spans="2:10">
      <c r="B90" s="18"/>
      <c r="D90" s="19"/>
      <c r="J90" s="20"/>
    </row>
    <row r="91" spans="2:10">
      <c r="B91" s="18"/>
      <c r="D91" s="19"/>
      <c r="J91" s="20"/>
    </row>
    <row r="92" spans="2:10">
      <c r="B92" s="18"/>
      <c r="D92" s="19"/>
      <c r="J92" s="20"/>
    </row>
    <row r="93" spans="2:10">
      <c r="B93" s="18"/>
      <c r="D93" s="19"/>
      <c r="J93" s="20"/>
    </row>
    <row r="94" spans="2:10">
      <c r="B94" s="18"/>
      <c r="D94" s="19"/>
      <c r="J94" s="20"/>
    </row>
    <row r="95" spans="2:10">
      <c r="B95" s="18"/>
      <c r="D95" s="19"/>
      <c r="J95" s="20"/>
    </row>
    <row r="96" spans="2:10">
      <c r="B96" s="18"/>
      <c r="D96" s="19"/>
      <c r="J96" s="20"/>
    </row>
    <row r="97" spans="2:10">
      <c r="B97" s="18"/>
      <c r="D97" s="19"/>
      <c r="J97" s="20"/>
    </row>
    <row r="98" spans="2:10">
      <c r="B98" s="18"/>
      <c r="D98" s="19"/>
      <c r="J98" s="20"/>
    </row>
    <row r="99" spans="2:10">
      <c r="B99" s="18"/>
      <c r="D99" s="19"/>
      <c r="J99" s="20"/>
    </row>
    <row r="100" spans="2:10">
      <c r="B100" s="18"/>
      <c r="D100" s="19"/>
      <c r="J100" s="20"/>
    </row>
    <row r="101" spans="2:10">
      <c r="B101" s="18"/>
      <c r="D101" s="19"/>
      <c r="J101" s="20"/>
    </row>
    <row r="102" spans="2:10">
      <c r="B102" s="18"/>
      <c r="D102" s="19"/>
      <c r="J102" s="20"/>
    </row>
    <row r="103" spans="2:10">
      <c r="B103" s="18"/>
      <c r="D103" s="19"/>
      <c r="J103" s="20"/>
    </row>
    <row r="104" spans="2:10">
      <c r="B104" s="18"/>
      <c r="D104" s="19"/>
      <c r="J104" s="20"/>
    </row>
    <row r="105" spans="2:10">
      <c r="B105" s="18"/>
      <c r="D105" s="19"/>
      <c r="J105" s="20"/>
    </row>
    <row r="106" spans="2:10">
      <c r="B106" s="18"/>
      <c r="D106" s="19"/>
      <c r="J106" s="20"/>
    </row>
    <row r="107" spans="2:10">
      <c r="B107" s="18"/>
      <c r="D107" s="19"/>
      <c r="J107" s="20"/>
    </row>
    <row r="108" spans="2:10">
      <c r="B108" s="18"/>
      <c r="D108" s="19"/>
      <c r="J108" s="20"/>
    </row>
    <row r="109" spans="2:10">
      <c r="B109" s="18"/>
      <c r="D109" s="19"/>
      <c r="J109" s="20"/>
    </row>
    <row r="110" spans="2:10">
      <c r="B110" s="18"/>
      <c r="D110" s="19"/>
      <c r="J110" s="20"/>
    </row>
    <row r="111" spans="2:10">
      <c r="B111" s="18"/>
      <c r="D111" s="19"/>
      <c r="J111" s="20"/>
    </row>
    <row r="112" spans="2:10">
      <c r="B112" s="18"/>
      <c r="D112" s="19"/>
      <c r="J112" s="20"/>
    </row>
    <row r="113" spans="2:10">
      <c r="B113" s="18"/>
      <c r="D113" s="19"/>
      <c r="J113" s="20"/>
    </row>
    <row r="114" spans="2:10">
      <c r="B114" s="18"/>
      <c r="D114" s="19"/>
      <c r="J114" s="20"/>
    </row>
    <row r="115" spans="2:10">
      <c r="B115" s="18"/>
      <c r="D115" s="19"/>
      <c r="J115" s="20"/>
    </row>
    <row r="116" spans="2:10">
      <c r="B116" s="18"/>
      <c r="D116" s="19"/>
      <c r="J116" s="20"/>
    </row>
    <row r="117" spans="2:10">
      <c r="B117" s="18"/>
      <c r="D117" s="19"/>
      <c r="J117" s="20"/>
    </row>
    <row r="118" spans="2:10">
      <c r="B118" s="18"/>
      <c r="D118" s="19"/>
      <c r="J118" s="20"/>
    </row>
    <row r="119" spans="2:10">
      <c r="B119" s="18"/>
      <c r="D119" s="19"/>
      <c r="J119" s="20"/>
    </row>
    <row r="120" spans="2:10">
      <c r="B120" s="18"/>
      <c r="D120" s="19"/>
      <c r="J120" s="20"/>
    </row>
    <row r="121" spans="2:10">
      <c r="B121" s="18"/>
      <c r="D121" s="19"/>
      <c r="J121" s="20"/>
    </row>
    <row r="122" spans="2:10">
      <c r="B122" s="18"/>
      <c r="D122" s="19"/>
      <c r="J122" s="20"/>
    </row>
    <row r="123" spans="2:10">
      <c r="B123" s="18"/>
      <c r="D123" s="19"/>
      <c r="J123" s="20"/>
    </row>
    <row r="124" spans="2:10">
      <c r="B124" s="18"/>
      <c r="D124" s="19"/>
      <c r="J124" s="20"/>
    </row>
    <row r="125" spans="2:10">
      <c r="B125" s="18"/>
      <c r="D125" s="19"/>
      <c r="J125" s="20"/>
    </row>
    <row r="126" spans="2:10">
      <c r="B126" s="18"/>
      <c r="D126" s="19"/>
      <c r="J126" s="20"/>
    </row>
    <row r="127" spans="2:10">
      <c r="B127" s="18"/>
      <c r="D127" s="19"/>
      <c r="J127" s="20"/>
    </row>
    <row r="128" spans="2:10">
      <c r="B128" s="18"/>
      <c r="D128" s="19"/>
      <c r="J128" s="20"/>
    </row>
    <row r="129" spans="2:10">
      <c r="B129" s="18"/>
      <c r="D129" s="19"/>
      <c r="J129" s="20"/>
    </row>
    <row r="130" spans="2:10">
      <c r="B130" s="18"/>
      <c r="D130" s="19"/>
      <c r="J130" s="20"/>
    </row>
    <row r="131" spans="2:10">
      <c r="B131" s="18"/>
      <c r="D131" s="19"/>
      <c r="J131" s="20"/>
    </row>
    <row r="132" spans="2:10">
      <c r="B132" s="18"/>
      <c r="D132" s="19"/>
      <c r="J132" s="20"/>
    </row>
    <row r="133" spans="2:10">
      <c r="B133" s="18"/>
      <c r="D133" s="19"/>
      <c r="J133" s="20"/>
    </row>
    <row r="134" spans="2:10">
      <c r="B134" s="18"/>
      <c r="D134" s="19"/>
      <c r="J134" s="20"/>
    </row>
    <row r="135" spans="2:10">
      <c r="B135" s="18"/>
      <c r="D135" s="19"/>
      <c r="J135" s="20"/>
    </row>
    <row r="136" spans="2:10">
      <c r="B136" s="18"/>
      <c r="D136" s="19"/>
      <c r="J136" s="20"/>
    </row>
    <row r="137" spans="2:10">
      <c r="B137" s="18"/>
      <c r="D137" s="19"/>
      <c r="J137" s="20"/>
    </row>
    <row r="138" spans="2:10">
      <c r="B138" s="18"/>
      <c r="D138" s="19"/>
      <c r="J138" s="20"/>
    </row>
    <row r="139" spans="2:10">
      <c r="B139" s="18"/>
      <c r="D139" s="19"/>
      <c r="J139" s="20"/>
    </row>
    <row r="140" spans="2:10">
      <c r="B140" s="18"/>
      <c r="D140" s="19"/>
      <c r="J140" s="20"/>
    </row>
    <row r="141" spans="2:10">
      <c r="B141" s="18"/>
      <c r="D141" s="19"/>
      <c r="J141" s="20"/>
    </row>
    <row r="142" spans="2:10">
      <c r="B142" s="18"/>
      <c r="D142" s="19"/>
      <c r="J142" s="20"/>
    </row>
    <row r="143" spans="2:10">
      <c r="B143" s="18"/>
      <c r="D143" s="19"/>
      <c r="J143" s="20"/>
    </row>
    <row r="144" spans="2:10">
      <c r="B144" s="18"/>
      <c r="D144" s="19"/>
      <c r="J144" s="20"/>
    </row>
    <row r="145" spans="2:10">
      <c r="B145" s="18"/>
      <c r="D145" s="19"/>
      <c r="J145" s="20"/>
    </row>
    <row r="146" spans="2:10">
      <c r="B146" s="18"/>
      <c r="D146" s="19"/>
      <c r="J146" s="20"/>
    </row>
    <row r="147" spans="2:10">
      <c r="B147" s="18"/>
      <c r="D147" s="19"/>
      <c r="J147" s="20"/>
    </row>
    <row r="148" spans="2:10">
      <c r="B148" s="18"/>
      <c r="D148" s="19"/>
      <c r="J148" s="20"/>
    </row>
    <row r="149" spans="2:10">
      <c r="B149" s="18"/>
      <c r="D149" s="19"/>
      <c r="J149" s="20"/>
    </row>
    <row r="150" spans="2:10">
      <c r="B150" s="18"/>
      <c r="D150" s="19"/>
      <c r="J150" s="20"/>
    </row>
    <row r="151" spans="2:10">
      <c r="B151" s="18"/>
      <c r="D151" s="19"/>
      <c r="J151" s="20"/>
    </row>
    <row r="152" spans="2:10">
      <c r="B152" s="18"/>
      <c r="D152" s="19"/>
      <c r="J152" s="20"/>
    </row>
    <row r="153" spans="2:10">
      <c r="B153" s="18"/>
      <c r="D153" s="19"/>
      <c r="J153" s="20"/>
    </row>
    <row r="154" spans="2:10">
      <c r="B154" s="18"/>
      <c r="D154" s="19"/>
      <c r="J154" s="20"/>
    </row>
    <row r="155" spans="2:10">
      <c r="B155" s="18"/>
      <c r="D155" s="19"/>
      <c r="J155" s="20"/>
    </row>
    <row r="156" spans="2:10">
      <c r="B156" s="18"/>
      <c r="D156" s="19"/>
      <c r="J156" s="20"/>
    </row>
    <row r="157" spans="2:10">
      <c r="B157" s="18"/>
      <c r="D157" s="19"/>
      <c r="J157" s="20"/>
    </row>
    <row r="158" spans="2:10">
      <c r="B158" s="18"/>
      <c r="D158" s="19"/>
      <c r="J158" s="20"/>
    </row>
    <row r="159" spans="2:10">
      <c r="B159" s="18"/>
      <c r="D159" s="19"/>
      <c r="J159" s="20"/>
    </row>
    <row r="160" spans="2:10">
      <c r="B160" s="18"/>
      <c r="D160" s="19"/>
      <c r="J160" s="20"/>
    </row>
    <row r="161" spans="2:10">
      <c r="B161" s="18"/>
      <c r="D161" s="19"/>
      <c r="J161" s="20"/>
    </row>
    <row r="162" spans="2:10">
      <c r="B162" s="18"/>
      <c r="D162" s="19"/>
      <c r="J162" s="20"/>
    </row>
    <row r="163" spans="2:10">
      <c r="B163" s="18"/>
      <c r="D163" s="19"/>
      <c r="J163" s="20"/>
    </row>
    <row r="164" spans="2:10">
      <c r="B164" s="18"/>
      <c r="D164" s="19"/>
      <c r="J164" s="20"/>
    </row>
    <row r="165" spans="2:10">
      <c r="B165" s="18"/>
      <c r="D165" s="19"/>
      <c r="J165" s="20"/>
    </row>
    <row r="166" spans="2:10">
      <c r="B166" s="18"/>
      <c r="D166" s="19"/>
      <c r="J166" s="20"/>
    </row>
    <row r="167" spans="2:10">
      <c r="B167" s="18"/>
      <c r="D167" s="19"/>
      <c r="J167" s="20"/>
    </row>
    <row r="168" spans="2:10">
      <c r="B168" s="18"/>
      <c r="D168" s="19"/>
      <c r="J168" s="20"/>
    </row>
    <row r="169" spans="2:10">
      <c r="B169" s="18"/>
      <c r="D169" s="19"/>
      <c r="J169" s="20"/>
    </row>
    <row r="170" spans="2:10">
      <c r="B170" s="18"/>
      <c r="D170" s="19"/>
      <c r="J170" s="20"/>
    </row>
    <row r="171" spans="2:10">
      <c r="B171" s="18"/>
      <c r="D171" s="19"/>
      <c r="J171" s="20"/>
    </row>
    <row r="172" spans="2:10">
      <c r="B172" s="18"/>
      <c r="D172" s="19"/>
      <c r="J172" s="20"/>
    </row>
    <row r="173" spans="2:10">
      <c r="B173" s="18"/>
      <c r="D173" s="19"/>
      <c r="J173" s="20"/>
    </row>
    <row r="174" spans="2:10">
      <c r="B174" s="18"/>
      <c r="D174" s="19"/>
      <c r="J174" s="20"/>
    </row>
    <row r="175" spans="2:10">
      <c r="B175" s="18"/>
      <c r="D175" s="19"/>
      <c r="J175" s="20"/>
    </row>
    <row r="176" spans="2:10">
      <c r="B176" s="18"/>
      <c r="D176" s="19"/>
      <c r="J176" s="20"/>
    </row>
    <row r="177" spans="2:10">
      <c r="B177" s="18"/>
      <c r="D177" s="19"/>
      <c r="J177" s="20"/>
    </row>
    <row r="178" spans="2:10">
      <c r="B178" s="18"/>
      <c r="D178" s="19"/>
      <c r="J178" s="20"/>
    </row>
    <row r="179" spans="2:10">
      <c r="B179" s="18"/>
      <c r="D179" s="19"/>
      <c r="J179" s="20"/>
    </row>
    <row r="180" spans="2:10">
      <c r="B180" s="18"/>
      <c r="D180" s="19"/>
      <c r="J180" s="20"/>
    </row>
    <row r="181" spans="2:10">
      <c r="B181" s="18"/>
      <c r="D181" s="19"/>
      <c r="J181" s="20"/>
    </row>
    <row r="182" spans="2:10">
      <c r="B182" s="18"/>
      <c r="D182" s="19"/>
      <c r="J182" s="20"/>
    </row>
    <row r="183" spans="2:10">
      <c r="B183" s="18"/>
      <c r="D183" s="19"/>
      <c r="J183" s="20"/>
    </row>
    <row r="184" spans="2:10">
      <c r="B184" s="18"/>
      <c r="D184" s="19"/>
      <c r="J184" s="20"/>
    </row>
    <row r="185" spans="2:10">
      <c r="B185" s="18"/>
      <c r="D185" s="19"/>
      <c r="J185" s="20"/>
    </row>
    <row r="186" spans="2:10">
      <c r="B186" s="18"/>
      <c r="D186" s="19"/>
      <c r="J186" s="20"/>
    </row>
    <row r="187" spans="2:10">
      <c r="B187" s="18"/>
      <c r="D187" s="19"/>
      <c r="J187" s="20"/>
    </row>
    <row r="188" spans="2:10">
      <c r="B188" s="18"/>
      <c r="D188" s="19"/>
      <c r="J188" s="20"/>
    </row>
    <row r="189" spans="2:10">
      <c r="B189" s="18"/>
      <c r="D189" s="19"/>
      <c r="J189" s="20"/>
    </row>
    <row r="190" spans="2:10">
      <c r="B190" s="18"/>
      <c r="D190" s="19"/>
      <c r="J190" s="20"/>
    </row>
    <row r="191" spans="2:10">
      <c r="B191" s="18"/>
      <c r="D191" s="19"/>
      <c r="J191" s="20"/>
    </row>
    <row r="192" spans="2:10">
      <c r="B192" s="18"/>
      <c r="D192" s="19"/>
      <c r="J192" s="20"/>
    </row>
    <row r="193" spans="2:10">
      <c r="B193" s="18"/>
      <c r="D193" s="19"/>
      <c r="J193" s="20"/>
    </row>
    <row r="194" spans="2:10">
      <c r="B194" s="18"/>
      <c r="D194" s="19"/>
      <c r="J194" s="20"/>
    </row>
    <row r="195" spans="2:10">
      <c r="B195" s="18"/>
      <c r="D195" s="19"/>
      <c r="J195" s="20"/>
    </row>
    <row r="196" spans="2:10">
      <c r="B196" s="18"/>
      <c r="D196" s="19"/>
      <c r="J196" s="20"/>
    </row>
    <row r="197" spans="2:10">
      <c r="B197" s="18"/>
      <c r="D197" s="19"/>
      <c r="J197" s="20"/>
    </row>
    <row r="198" spans="2:10">
      <c r="B198" s="18"/>
      <c r="D198" s="19"/>
      <c r="J198" s="20"/>
    </row>
    <row r="199" spans="2:10">
      <c r="B199" s="18"/>
      <c r="D199" s="19"/>
      <c r="J199" s="20"/>
    </row>
    <row r="200" spans="2:10">
      <c r="B200" s="18"/>
      <c r="D200" s="19"/>
      <c r="J200" s="20"/>
    </row>
    <row r="201" spans="2:10">
      <c r="B201" s="18"/>
      <c r="D201" s="19"/>
      <c r="J201" s="20"/>
    </row>
    <row r="202" spans="2:10">
      <c r="B202" s="18"/>
      <c r="D202" s="19"/>
      <c r="J202" s="20"/>
    </row>
    <row r="203" spans="2:10">
      <c r="B203" s="18"/>
      <c r="D203" s="19"/>
      <c r="J203" s="20"/>
    </row>
    <row r="204" spans="2:10">
      <c r="B204" s="18"/>
      <c r="D204" s="19"/>
      <c r="J204" s="20"/>
    </row>
    <row r="205" spans="2:10">
      <c r="B205" s="18"/>
      <c r="D205" s="19"/>
      <c r="J205" s="20"/>
    </row>
    <row r="206" spans="2:10">
      <c r="B206" s="18"/>
      <c r="D206" s="19"/>
      <c r="J206" s="20"/>
    </row>
    <row r="207" spans="2:10">
      <c r="B207" s="18"/>
      <c r="D207" s="19"/>
      <c r="J207" s="20"/>
    </row>
    <row r="208" spans="2:10">
      <c r="B208" s="18"/>
      <c r="D208" s="19"/>
      <c r="J208" s="20"/>
    </row>
    <row r="209" spans="2:10">
      <c r="B209" s="18"/>
      <c r="D209" s="19"/>
      <c r="J209" s="20"/>
    </row>
    <row r="210" spans="2:10">
      <c r="B210" s="18"/>
      <c r="D210" s="19"/>
      <c r="J210" s="20"/>
    </row>
    <row r="211" spans="2:10">
      <c r="B211" s="18"/>
      <c r="D211" s="19"/>
      <c r="J211" s="20"/>
    </row>
    <row r="212" spans="2:10">
      <c r="B212" s="18"/>
      <c r="D212" s="19"/>
      <c r="J212" s="20"/>
    </row>
    <row r="213" spans="2:10">
      <c r="B213" s="18"/>
      <c r="D213" s="19"/>
      <c r="J213" s="20"/>
    </row>
    <row r="214" spans="2:10">
      <c r="B214" s="18"/>
      <c r="D214" s="19"/>
      <c r="J214" s="20"/>
    </row>
    <row r="215" spans="2:10">
      <c r="B215" s="18"/>
      <c r="D215" s="19"/>
      <c r="J215" s="20"/>
    </row>
    <row r="216" spans="2:10">
      <c r="B216" s="18"/>
      <c r="D216" s="19"/>
      <c r="J216" s="20"/>
    </row>
    <row r="217" spans="2:10">
      <c r="B217" s="18"/>
      <c r="D217" s="19"/>
      <c r="J217" s="20"/>
    </row>
    <row r="218" spans="2:10">
      <c r="B218" s="18"/>
      <c r="D218" s="19"/>
      <c r="J218" s="20"/>
    </row>
    <row r="219" spans="2:10">
      <c r="B219" s="18"/>
      <c r="D219" s="19"/>
      <c r="J219" s="20"/>
    </row>
    <row r="220" spans="2:10">
      <c r="B220" s="18"/>
      <c r="D220" s="19"/>
      <c r="J220" s="20"/>
    </row>
    <row r="221" spans="2:10">
      <c r="B221" s="18"/>
      <c r="D221" s="19"/>
      <c r="J221" s="20"/>
    </row>
    <row r="222" spans="2:10">
      <c r="B222" s="18"/>
      <c r="D222" s="19"/>
      <c r="J222" s="20"/>
    </row>
    <row r="223" spans="2:10">
      <c r="B223" s="18"/>
      <c r="D223" s="19"/>
      <c r="J223" s="20"/>
    </row>
    <row r="224" spans="2:10">
      <c r="B224" s="18"/>
      <c r="D224" s="19"/>
      <c r="J224" s="20"/>
    </row>
    <row r="225" spans="2:10">
      <c r="B225" s="18"/>
      <c r="D225" s="19"/>
      <c r="J225" s="20"/>
    </row>
    <row r="226" spans="2:10">
      <c r="B226" s="18"/>
      <c r="D226" s="19"/>
      <c r="J226" s="20"/>
    </row>
    <row r="227" spans="2:10">
      <c r="B227" s="18"/>
      <c r="D227" s="19"/>
      <c r="J227" s="20"/>
    </row>
    <row r="228" spans="2:10">
      <c r="B228" s="18"/>
      <c r="D228" s="19"/>
      <c r="J228" s="20"/>
    </row>
    <row r="229" spans="2:10">
      <c r="B229" s="18"/>
      <c r="D229" s="19"/>
      <c r="J229" s="20"/>
    </row>
    <row r="230" spans="2:10">
      <c r="B230" s="18"/>
      <c r="D230" s="19"/>
      <c r="J230" s="20"/>
    </row>
    <row r="231" spans="2:10">
      <c r="B231" s="18"/>
      <c r="D231" s="19"/>
      <c r="J231" s="20"/>
    </row>
    <row r="232" spans="2:10">
      <c r="B232" s="18"/>
      <c r="D232" s="19"/>
      <c r="J232" s="20"/>
    </row>
    <row r="233" spans="2:10">
      <c r="B233" s="18"/>
      <c r="D233" s="19"/>
      <c r="J233" s="20"/>
    </row>
    <row r="234" spans="2:10">
      <c r="B234" s="18"/>
      <c r="D234" s="19"/>
      <c r="J234" s="20"/>
    </row>
    <row r="235" spans="2:10">
      <c r="B235" s="18"/>
      <c r="D235" s="19"/>
      <c r="J235" s="20"/>
    </row>
    <row r="236" spans="2:10">
      <c r="B236" s="18"/>
      <c r="D236" s="19"/>
      <c r="J236" s="20"/>
    </row>
    <row r="237" spans="2:10">
      <c r="B237" s="18"/>
      <c r="D237" s="19"/>
      <c r="J237" s="20"/>
    </row>
    <row r="238" spans="2:10">
      <c r="B238" s="18"/>
      <c r="D238" s="19"/>
      <c r="J238" s="20"/>
    </row>
    <row r="239" spans="2:10">
      <c r="B239" s="18"/>
      <c r="D239" s="19"/>
      <c r="J239" s="20"/>
    </row>
    <row r="240" spans="2:10">
      <c r="B240" s="18"/>
      <c r="D240" s="19"/>
      <c r="J240" s="20"/>
    </row>
    <row r="241" spans="2:10">
      <c r="B241" s="18"/>
      <c r="D241" s="19"/>
      <c r="J241" s="20"/>
    </row>
    <row r="242" spans="2:10">
      <c r="B242" s="18"/>
      <c r="D242" s="19"/>
      <c r="J242" s="20"/>
    </row>
    <row r="243" spans="2:10">
      <c r="B243" s="18"/>
      <c r="D243" s="19"/>
      <c r="J243" s="20"/>
    </row>
    <row r="244" spans="2:10">
      <c r="B244" s="18"/>
      <c r="D244" s="19"/>
      <c r="J244" s="20"/>
    </row>
    <row r="245" spans="2:10">
      <c r="B245" s="18"/>
      <c r="D245" s="19"/>
      <c r="J245" s="20"/>
    </row>
    <row r="246" spans="2:10">
      <c r="B246" s="18"/>
      <c r="D246" s="19"/>
      <c r="J246" s="20"/>
    </row>
    <row r="247" spans="2:10">
      <c r="B247" s="18"/>
      <c r="D247" s="19"/>
      <c r="J247" s="20"/>
    </row>
    <row r="248" spans="2:10">
      <c r="B248" s="18"/>
      <c r="D248" s="19"/>
      <c r="J248" s="20"/>
    </row>
    <row r="249" spans="2:10">
      <c r="B249" s="18"/>
      <c r="D249" s="19"/>
      <c r="J249" s="20"/>
    </row>
    <row r="250" spans="2:10">
      <c r="B250" s="18"/>
      <c r="D250" s="19"/>
      <c r="J250" s="20"/>
    </row>
    <row r="251" spans="2:10">
      <c r="B251" s="18"/>
      <c r="D251" s="19"/>
      <c r="J251" s="20"/>
    </row>
    <row r="252" spans="2:10">
      <c r="B252" s="18"/>
      <c r="D252" s="19"/>
      <c r="J252" s="20"/>
    </row>
    <row r="253" spans="2:10">
      <c r="B253" s="18"/>
      <c r="D253" s="19"/>
      <c r="J253" s="20"/>
    </row>
    <row r="254" spans="2:10">
      <c r="B254" s="18"/>
      <c r="D254" s="19"/>
      <c r="J254" s="20"/>
    </row>
    <row r="255" spans="2:10">
      <c r="B255" s="18"/>
      <c r="D255" s="19"/>
      <c r="J255" s="20"/>
    </row>
    <row r="256" spans="2:10">
      <c r="B256" s="18"/>
      <c r="D256" s="19"/>
      <c r="J256" s="20"/>
    </row>
    <row r="257" spans="2:10">
      <c r="B257" s="18"/>
      <c r="D257" s="19"/>
      <c r="J257" s="20"/>
    </row>
    <row r="258" spans="2:10">
      <c r="B258" s="18"/>
      <c r="D258" s="19"/>
      <c r="J258" s="20"/>
    </row>
    <row r="259" spans="2:10">
      <c r="B259" s="18"/>
      <c r="D259" s="19"/>
      <c r="J259" s="20"/>
    </row>
    <row r="260" spans="2:10">
      <c r="B260" s="18"/>
      <c r="D260" s="19"/>
      <c r="J260" s="20"/>
    </row>
    <row r="261" spans="2:10">
      <c r="B261" s="18"/>
      <c r="D261" s="19"/>
      <c r="J261" s="20"/>
    </row>
    <row r="262" spans="2:10">
      <c r="B262" s="18"/>
      <c r="D262" s="19"/>
      <c r="J262" s="20"/>
    </row>
    <row r="263" spans="2:10">
      <c r="B263" s="18"/>
      <c r="D263" s="19"/>
      <c r="J263" s="20"/>
    </row>
    <row r="264" spans="2:10">
      <c r="B264" s="18"/>
      <c r="D264" s="19"/>
      <c r="J264" s="20"/>
    </row>
    <row r="265" spans="2:10">
      <c r="B265" s="18"/>
      <c r="D265" s="19"/>
      <c r="J265" s="20"/>
    </row>
    <row r="266" spans="2:10">
      <c r="B266" s="18"/>
      <c r="D266" s="19"/>
      <c r="J266" s="20"/>
    </row>
    <row r="267" spans="2:10">
      <c r="B267" s="18"/>
      <c r="D267" s="19"/>
      <c r="J267" s="20"/>
    </row>
    <row r="268" spans="2:10">
      <c r="B268" s="18"/>
      <c r="D268" s="19"/>
      <c r="J268" s="20"/>
    </row>
    <row r="269" spans="2:10">
      <c r="B269" s="18"/>
      <c r="D269" s="19"/>
      <c r="J269" s="20"/>
    </row>
    <row r="270" spans="2:10">
      <c r="B270" s="18"/>
      <c r="D270" s="19"/>
      <c r="J270" s="20"/>
    </row>
    <row r="271" spans="2:10">
      <c r="B271" s="18"/>
      <c r="D271" s="19"/>
      <c r="J271" s="20"/>
    </row>
    <row r="272" spans="2:10">
      <c r="B272" s="18"/>
      <c r="D272" s="19"/>
      <c r="J272" s="20"/>
    </row>
    <row r="273" spans="2:10">
      <c r="B273" s="18"/>
      <c r="D273" s="19"/>
      <c r="J273" s="20"/>
    </row>
    <row r="274" spans="2:10">
      <c r="B274" s="18"/>
      <c r="D274" s="19"/>
      <c r="J274" s="20"/>
    </row>
    <row r="275" spans="2:10">
      <c r="B275" s="18"/>
      <c r="D275" s="19"/>
      <c r="J275" s="20"/>
    </row>
    <row r="276" spans="2:10">
      <c r="B276" s="18"/>
      <c r="D276" s="19"/>
      <c r="J276" s="20"/>
    </row>
    <row r="277" spans="2:10">
      <c r="B277" s="18"/>
      <c r="D277" s="19"/>
      <c r="J277" s="20"/>
    </row>
    <row r="278" spans="2:10">
      <c r="B278" s="18"/>
      <c r="D278" s="19"/>
      <c r="J278" s="20"/>
    </row>
    <row r="279" spans="2:10">
      <c r="B279" s="18"/>
      <c r="D279" s="19"/>
      <c r="J279" s="20"/>
    </row>
    <row r="280" spans="2:10">
      <c r="B280" s="18"/>
      <c r="D280" s="19"/>
      <c r="J280" s="20"/>
    </row>
    <row r="281" spans="2:10">
      <c r="B281" s="18"/>
      <c r="D281" s="19"/>
      <c r="J281" s="20"/>
    </row>
    <row r="282" spans="2:10">
      <c r="B282" s="18"/>
      <c r="D282" s="19"/>
      <c r="J282" s="20"/>
    </row>
    <row r="283" spans="2:10">
      <c r="B283" s="18"/>
      <c r="D283" s="19"/>
      <c r="J283" s="20"/>
    </row>
    <row r="284" spans="2:10">
      <c r="B284" s="18"/>
      <c r="D284" s="19"/>
      <c r="J284" s="20"/>
    </row>
    <row r="285" spans="2:10">
      <c r="B285" s="18"/>
      <c r="D285" s="19"/>
      <c r="J285" s="20"/>
    </row>
    <row r="286" spans="2:10">
      <c r="B286" s="18"/>
      <c r="D286" s="19"/>
      <c r="J286" s="20"/>
    </row>
    <row r="287" spans="2:10">
      <c r="B287" s="18"/>
      <c r="D287" s="19"/>
      <c r="J287" s="20"/>
    </row>
    <row r="288" spans="2:10">
      <c r="B288" s="18"/>
      <c r="D288" s="19"/>
      <c r="J288" s="20"/>
    </row>
    <row r="289" spans="2:10">
      <c r="B289" s="18"/>
      <c r="D289" s="19"/>
      <c r="J289" s="20"/>
    </row>
    <row r="290" spans="2:10">
      <c r="B290" s="18"/>
      <c r="D290" s="19"/>
      <c r="J290" s="20"/>
    </row>
    <row r="291" spans="2:10">
      <c r="B291" s="18"/>
      <c r="D291" s="19"/>
      <c r="J291" s="20"/>
    </row>
    <row r="292" spans="2:10">
      <c r="B292" s="18"/>
      <c r="D292" s="19"/>
      <c r="J292" s="20"/>
    </row>
    <row r="293" spans="2:10">
      <c r="B293" s="18"/>
      <c r="D293" s="19"/>
      <c r="J293" s="20"/>
    </row>
    <row r="294" spans="2:10">
      <c r="B294" s="18"/>
      <c r="D294" s="19"/>
      <c r="J294" s="20"/>
    </row>
    <row r="295" spans="2:10">
      <c r="B295" s="18"/>
      <c r="D295" s="19"/>
      <c r="J295" s="20"/>
    </row>
    <row r="296" spans="2:10">
      <c r="B296" s="18"/>
      <c r="D296" s="19"/>
      <c r="J296" s="20"/>
    </row>
    <row r="297" spans="2:10">
      <c r="B297" s="18"/>
      <c r="D297" s="19"/>
      <c r="J297" s="20"/>
    </row>
    <row r="298" spans="2:10">
      <c r="B298" s="18"/>
      <c r="D298" s="19"/>
      <c r="J298" s="20"/>
    </row>
    <row r="299" spans="2:10">
      <c r="B299" s="18"/>
      <c r="D299" s="19"/>
      <c r="J299" s="20"/>
    </row>
    <row r="300" spans="2:10">
      <c r="B300" s="18"/>
      <c r="D300" s="19"/>
      <c r="J300" s="20"/>
    </row>
    <row r="301" spans="2:10">
      <c r="B301" s="18"/>
      <c r="D301" s="19"/>
      <c r="J301" s="20"/>
    </row>
    <row r="302" spans="2:10">
      <c r="B302" s="18"/>
      <c r="D302" s="19"/>
      <c r="J302" s="20"/>
    </row>
    <row r="303" spans="2:10">
      <c r="B303" s="18"/>
      <c r="D303" s="19"/>
      <c r="J303" s="20"/>
    </row>
    <row r="304" spans="2:10">
      <c r="B304" s="18"/>
      <c r="D304" s="19"/>
      <c r="J304" s="20"/>
    </row>
    <row r="305" spans="2:10">
      <c r="B305" s="18"/>
      <c r="D305" s="19"/>
      <c r="J305" s="20"/>
    </row>
    <row r="306" spans="2:10">
      <c r="B306" s="18"/>
      <c r="D306" s="19"/>
      <c r="J306" s="20"/>
    </row>
    <row r="307" spans="2:10">
      <c r="B307" s="18"/>
      <c r="D307" s="19"/>
      <c r="J307" s="20"/>
    </row>
    <row r="308" spans="2:10">
      <c r="B308" s="18"/>
      <c r="D308" s="19"/>
      <c r="J308" s="20"/>
    </row>
    <row r="309" spans="2:10">
      <c r="B309" s="18"/>
      <c r="D309" s="19"/>
      <c r="J309" s="20"/>
    </row>
    <row r="310" spans="2:10">
      <c r="B310" s="18"/>
      <c r="D310" s="19"/>
      <c r="J310" s="20"/>
    </row>
    <row r="311" spans="2:10">
      <c r="B311" s="18"/>
      <c r="D311" s="19"/>
      <c r="J311" s="20"/>
    </row>
    <row r="312" spans="2:10">
      <c r="B312" s="18"/>
      <c r="D312" s="19"/>
      <c r="J312" s="20"/>
    </row>
    <row r="313" spans="2:10">
      <c r="B313" s="18"/>
      <c r="D313" s="19"/>
      <c r="J313" s="20"/>
    </row>
    <row r="314" spans="2:10">
      <c r="B314" s="18"/>
      <c r="D314" s="19"/>
      <c r="J314" s="20"/>
    </row>
    <row r="315" spans="2:10">
      <c r="B315" s="18"/>
      <c r="D315" s="19"/>
      <c r="J315" s="20"/>
    </row>
    <row r="316" spans="2:10">
      <c r="B316" s="18"/>
      <c r="D316" s="19"/>
      <c r="J316" s="20"/>
    </row>
    <row r="317" spans="2:10">
      <c r="B317" s="18"/>
      <c r="D317" s="19"/>
      <c r="J317" s="20"/>
    </row>
    <row r="318" spans="2:10">
      <c r="B318" s="18"/>
      <c r="D318" s="19"/>
      <c r="J318" s="20"/>
    </row>
    <row r="319" spans="2:10">
      <c r="B319" s="18"/>
      <c r="D319" s="19"/>
      <c r="J319" s="20"/>
    </row>
    <row r="320" spans="2:10">
      <c r="B320" s="18"/>
      <c r="D320" s="19"/>
      <c r="J320" s="20"/>
    </row>
    <row r="321" spans="2:10">
      <c r="B321" s="18"/>
      <c r="D321" s="19"/>
      <c r="J321" s="20"/>
    </row>
    <row r="322" spans="2:10">
      <c r="B322" s="18"/>
      <c r="D322" s="19"/>
      <c r="J322" s="20"/>
    </row>
    <row r="323" spans="2:10">
      <c r="B323" s="18"/>
      <c r="D323" s="19"/>
      <c r="J323" s="20"/>
    </row>
    <row r="324" spans="2:10">
      <c r="B324" s="18"/>
      <c r="D324" s="19"/>
      <c r="J324" s="20"/>
    </row>
    <row r="325" spans="2:10">
      <c r="B325" s="18"/>
      <c r="D325" s="19"/>
      <c r="J325" s="20"/>
    </row>
    <row r="326" spans="2:10">
      <c r="B326" s="18"/>
      <c r="D326" s="19"/>
      <c r="J326" s="20"/>
    </row>
    <row r="327" spans="2:10">
      <c r="B327" s="18"/>
      <c r="D327" s="19"/>
      <c r="J327" s="20"/>
    </row>
    <row r="328" spans="2:10">
      <c r="B328" s="18"/>
      <c r="D328" s="19"/>
      <c r="J328" s="20"/>
    </row>
    <row r="329" spans="2:10">
      <c r="B329" s="18"/>
      <c r="D329" s="19"/>
      <c r="J329" s="20"/>
    </row>
    <row r="330" spans="2:10">
      <c r="B330" s="18"/>
      <c r="D330" s="19"/>
      <c r="J330" s="20"/>
    </row>
    <row r="331" spans="2:10">
      <c r="B331" s="18"/>
      <c r="D331" s="19"/>
      <c r="J331" s="20"/>
    </row>
    <row r="332" spans="2:10">
      <c r="B332" s="18"/>
      <c r="D332" s="19"/>
      <c r="J332" s="20"/>
    </row>
    <row r="333" spans="2:10">
      <c r="B333" s="18"/>
      <c r="D333" s="19"/>
      <c r="J333" s="20"/>
    </row>
    <row r="334" spans="2:10">
      <c r="B334" s="18"/>
      <c r="D334" s="19"/>
      <c r="J334" s="20"/>
    </row>
    <row r="335" spans="2:10">
      <c r="B335" s="18"/>
      <c r="D335" s="19"/>
      <c r="J335" s="20"/>
    </row>
    <row r="336" spans="2:10">
      <c r="B336" s="18"/>
      <c r="D336" s="19"/>
      <c r="J336" s="20"/>
    </row>
    <row r="337" spans="2:10">
      <c r="B337" s="18"/>
      <c r="D337" s="19"/>
      <c r="J337" s="20"/>
    </row>
    <row r="338" spans="2:10">
      <c r="B338" s="18"/>
      <c r="D338" s="19"/>
      <c r="J338" s="20"/>
    </row>
    <row r="339" spans="2:10">
      <c r="B339" s="18"/>
      <c r="D339" s="19"/>
      <c r="J339" s="20"/>
    </row>
    <row r="340" spans="2:10">
      <c r="B340" s="18"/>
      <c r="D340" s="19"/>
      <c r="J340" s="20"/>
    </row>
    <row r="341" spans="2:10">
      <c r="B341" s="18"/>
      <c r="D341" s="19"/>
      <c r="J341" s="20"/>
    </row>
    <row r="342" spans="2:10">
      <c r="B342" s="18"/>
      <c r="D342" s="19"/>
      <c r="J342" s="20"/>
    </row>
    <row r="343" spans="2:10">
      <c r="B343" s="18"/>
      <c r="D343" s="19"/>
      <c r="J343" s="20"/>
    </row>
    <row r="344" spans="2:10">
      <c r="B344" s="18"/>
      <c r="D344" s="19"/>
      <c r="J344" s="20"/>
    </row>
    <row r="345" spans="2:10">
      <c r="B345" s="18"/>
      <c r="D345" s="19"/>
      <c r="J345" s="20"/>
    </row>
    <row r="346" spans="2:10">
      <c r="B346" s="18"/>
      <c r="D346" s="19"/>
      <c r="J346" s="20"/>
    </row>
    <row r="347" spans="2:10">
      <c r="B347" s="18"/>
      <c r="D347" s="19"/>
      <c r="J347" s="20"/>
    </row>
    <row r="348" spans="2:10">
      <c r="B348" s="18"/>
      <c r="D348" s="19"/>
      <c r="J348" s="20"/>
    </row>
    <row r="349" spans="2:10">
      <c r="B349" s="18"/>
      <c r="D349" s="19"/>
      <c r="J349" s="20"/>
    </row>
    <row r="350" spans="2:10">
      <c r="B350" s="18"/>
      <c r="D350" s="19"/>
      <c r="J350" s="20"/>
    </row>
    <row r="351" spans="2:10">
      <c r="B351" s="18"/>
      <c r="D351" s="19"/>
      <c r="J351" s="20"/>
    </row>
    <row r="352" spans="2:10">
      <c r="B352" s="18"/>
      <c r="D352" s="19"/>
      <c r="J352" s="20"/>
    </row>
    <row r="353" spans="2:10">
      <c r="B353" s="18"/>
      <c r="D353" s="19"/>
      <c r="J353" s="20"/>
    </row>
    <row r="354" spans="2:10">
      <c r="B354" s="18"/>
      <c r="D354" s="19"/>
      <c r="J354" s="20"/>
    </row>
    <row r="355" spans="2:10">
      <c r="B355" s="18"/>
      <c r="D355" s="19"/>
      <c r="J355" s="20"/>
    </row>
    <row r="356" spans="2:10">
      <c r="B356" s="18"/>
      <c r="D356" s="19"/>
      <c r="J356" s="20"/>
    </row>
    <row r="357" spans="2:10">
      <c r="B357" s="18"/>
      <c r="D357" s="19"/>
      <c r="J357" s="20"/>
    </row>
    <row r="358" spans="2:10">
      <c r="B358" s="18"/>
      <c r="D358" s="19"/>
      <c r="J358" s="20"/>
    </row>
    <row r="359" spans="2:10">
      <c r="B359" s="18"/>
      <c r="D359" s="19"/>
      <c r="J359" s="20"/>
    </row>
    <row r="360" spans="2:10">
      <c r="B360" s="18"/>
      <c r="D360" s="19"/>
      <c r="J360" s="20"/>
    </row>
    <row r="361" spans="2:10">
      <c r="B361" s="18"/>
      <c r="D361" s="19"/>
      <c r="J361" s="20"/>
    </row>
    <row r="362" spans="2:10">
      <c r="B362" s="18"/>
      <c r="D362" s="19"/>
      <c r="J362" s="20"/>
    </row>
    <row r="363" spans="2:10">
      <c r="B363" s="18"/>
      <c r="D363" s="19"/>
      <c r="J363" s="20"/>
    </row>
    <row r="364" spans="2:10">
      <c r="B364" s="18"/>
      <c r="D364" s="19"/>
      <c r="J364" s="20"/>
    </row>
    <row r="365" spans="2:10">
      <c r="B365" s="18"/>
      <c r="D365" s="19"/>
      <c r="J365" s="20"/>
    </row>
    <row r="366" spans="2:10">
      <c r="B366" s="18"/>
      <c r="D366" s="19"/>
      <c r="J366" s="20"/>
    </row>
    <row r="367" spans="2:10">
      <c r="B367" s="18"/>
      <c r="D367" s="19"/>
      <c r="J367" s="20"/>
    </row>
    <row r="368" spans="2:10">
      <c r="B368" s="18"/>
      <c r="D368" s="19"/>
      <c r="J368" s="20"/>
    </row>
    <row r="369" spans="2:10">
      <c r="B369" s="18"/>
      <c r="D369" s="19"/>
      <c r="J369" s="20"/>
    </row>
    <row r="370" spans="2:10">
      <c r="B370" s="18"/>
      <c r="D370" s="19"/>
      <c r="J370" s="20"/>
    </row>
    <row r="371" spans="2:10">
      <c r="B371" s="18"/>
      <c r="D371" s="19"/>
      <c r="J371" s="20"/>
    </row>
    <row r="372" spans="2:10">
      <c r="B372" s="18"/>
      <c r="D372" s="19"/>
      <c r="J372" s="20"/>
    </row>
    <row r="373" spans="2:10">
      <c r="B373" s="18"/>
      <c r="D373" s="19"/>
      <c r="J373" s="20"/>
    </row>
    <row r="374" spans="2:10">
      <c r="B374" s="18"/>
      <c r="D374" s="19"/>
      <c r="J374" s="20"/>
    </row>
    <row r="375" spans="2:10">
      <c r="B375" s="18"/>
      <c r="D375" s="19"/>
      <c r="J375" s="20"/>
    </row>
    <row r="376" spans="2:10">
      <c r="B376" s="18"/>
      <c r="D376" s="19"/>
      <c r="J376" s="20"/>
    </row>
    <row r="377" spans="2:10">
      <c r="B377" s="18"/>
      <c r="D377" s="19"/>
      <c r="J377" s="20"/>
    </row>
    <row r="378" spans="2:10">
      <c r="B378" s="18"/>
      <c r="D378" s="19"/>
      <c r="J378" s="20"/>
    </row>
    <row r="379" spans="2:10">
      <c r="B379" s="18"/>
      <c r="D379" s="19"/>
      <c r="J379" s="20"/>
    </row>
    <row r="380" spans="2:10">
      <c r="B380" s="18"/>
      <c r="D380" s="19"/>
      <c r="J380" s="20"/>
    </row>
    <row r="381" spans="2:10">
      <c r="B381" s="18"/>
      <c r="D381" s="19"/>
      <c r="J381" s="20"/>
    </row>
    <row r="382" spans="2:10">
      <c r="B382" s="18"/>
      <c r="D382" s="19"/>
      <c r="J382" s="20"/>
    </row>
    <row r="383" spans="2:10">
      <c r="B383" s="18"/>
      <c r="D383" s="19"/>
      <c r="J383" s="20"/>
    </row>
    <row r="384" spans="2:10">
      <c r="B384" s="18"/>
      <c r="D384" s="19"/>
      <c r="J384" s="20"/>
    </row>
    <row r="385" spans="2:10">
      <c r="B385" s="18"/>
      <c r="D385" s="19"/>
      <c r="J385" s="20"/>
    </row>
    <row r="386" spans="2:10">
      <c r="B386" s="18"/>
      <c r="D386" s="19"/>
      <c r="J386" s="20"/>
    </row>
    <row r="387" spans="2:10">
      <c r="B387" s="18"/>
      <c r="D387" s="19"/>
      <c r="J387" s="20"/>
    </row>
    <row r="388" spans="2:10">
      <c r="B388" s="18"/>
      <c r="D388" s="19"/>
      <c r="J388" s="20"/>
    </row>
    <row r="389" spans="2:10">
      <c r="B389" s="18"/>
      <c r="D389" s="19"/>
      <c r="J389" s="20"/>
    </row>
    <row r="390" spans="2:10">
      <c r="B390" s="18"/>
      <c r="D390" s="19"/>
      <c r="J390" s="20"/>
    </row>
    <row r="391" spans="2:10">
      <c r="B391" s="18"/>
      <c r="D391" s="19"/>
      <c r="J391" s="20"/>
    </row>
    <row r="392" spans="2:10">
      <c r="B392" s="18"/>
      <c r="D392" s="19"/>
      <c r="J392" s="20"/>
    </row>
    <row r="393" spans="2:10">
      <c r="B393" s="18"/>
      <c r="D393" s="19"/>
      <c r="J393" s="20"/>
    </row>
    <row r="394" spans="2:10">
      <c r="B394" s="18"/>
      <c r="D394" s="19"/>
      <c r="J394" s="20"/>
    </row>
    <row r="395" spans="2:10">
      <c r="B395" s="18"/>
      <c r="D395" s="19"/>
      <c r="J395" s="20"/>
    </row>
    <row r="396" spans="2:10">
      <c r="B396" s="18"/>
      <c r="D396" s="19"/>
      <c r="J396" s="20"/>
    </row>
    <row r="397" spans="2:10">
      <c r="B397" s="18"/>
      <c r="D397" s="19"/>
      <c r="J397" s="20"/>
    </row>
    <row r="398" spans="2:10">
      <c r="B398" s="18"/>
      <c r="D398" s="19"/>
      <c r="J398" s="20"/>
    </row>
    <row r="399" spans="2:10">
      <c r="B399" s="18"/>
      <c r="D399" s="19"/>
      <c r="J399" s="20"/>
    </row>
    <row r="400" spans="2:10">
      <c r="B400" s="18"/>
      <c r="D400" s="19"/>
      <c r="J400" s="20"/>
    </row>
    <row r="401" spans="2:10">
      <c r="B401" s="18"/>
      <c r="D401" s="19"/>
      <c r="J401" s="20"/>
    </row>
    <row r="402" spans="2:10">
      <c r="B402" s="18"/>
      <c r="D402" s="19"/>
      <c r="J402" s="20"/>
    </row>
    <row r="403" spans="2:10">
      <c r="B403" s="18"/>
      <c r="D403" s="19"/>
      <c r="J403" s="20"/>
    </row>
    <row r="404" spans="2:10">
      <c r="B404" s="18"/>
      <c r="D404" s="19"/>
      <c r="J404" s="20"/>
    </row>
    <row r="405" spans="2:10">
      <c r="B405" s="18"/>
      <c r="D405" s="19"/>
      <c r="J405" s="20"/>
    </row>
    <row r="406" spans="2:10">
      <c r="B406" s="18"/>
      <c r="D406" s="19"/>
      <c r="J406" s="20"/>
    </row>
    <row r="407" spans="2:10">
      <c r="B407" s="18"/>
      <c r="D407" s="19"/>
      <c r="J407" s="20"/>
    </row>
    <row r="408" spans="2:10">
      <c r="B408" s="18"/>
      <c r="D408" s="19"/>
      <c r="J408" s="20"/>
    </row>
    <row r="409" spans="2:10">
      <c r="B409" s="18"/>
      <c r="D409" s="19"/>
      <c r="J409" s="20"/>
    </row>
    <row r="410" spans="2:10">
      <c r="B410" s="18"/>
      <c r="D410" s="19"/>
      <c r="J410" s="20"/>
    </row>
    <row r="411" spans="2:10">
      <c r="B411" s="18"/>
      <c r="D411" s="19"/>
      <c r="J411" s="20"/>
    </row>
    <row r="412" spans="2:10">
      <c r="B412" s="18"/>
      <c r="D412" s="19"/>
      <c r="J412" s="20"/>
    </row>
    <row r="413" spans="2:10">
      <c r="B413" s="18"/>
      <c r="D413" s="19"/>
      <c r="J413" s="20"/>
    </row>
    <row r="414" spans="2:10">
      <c r="B414" s="18"/>
      <c r="D414" s="19"/>
      <c r="J414" s="20"/>
    </row>
    <row r="415" spans="2:10">
      <c r="B415" s="18"/>
      <c r="D415" s="19"/>
      <c r="J415" s="20"/>
    </row>
    <row r="416" spans="2:10">
      <c r="B416" s="18"/>
      <c r="D416" s="19"/>
      <c r="J416" s="20"/>
    </row>
    <row r="417" spans="2:10">
      <c r="B417" s="18"/>
      <c r="D417" s="19"/>
      <c r="J417" s="20"/>
    </row>
    <row r="418" spans="2:10">
      <c r="B418" s="18"/>
      <c r="D418" s="19"/>
      <c r="J418" s="20"/>
    </row>
    <row r="419" spans="2:10">
      <c r="B419" s="18"/>
      <c r="D419" s="19"/>
      <c r="J419" s="20"/>
    </row>
    <row r="420" spans="2:10">
      <c r="B420" s="18"/>
      <c r="D420" s="19"/>
      <c r="J420" s="20"/>
    </row>
    <row r="421" spans="2:10">
      <c r="B421" s="18"/>
      <c r="D421" s="19"/>
      <c r="J421" s="20"/>
    </row>
    <row r="422" spans="2:10">
      <c r="B422" s="18"/>
      <c r="D422" s="19"/>
      <c r="J422" s="20"/>
    </row>
    <row r="423" spans="2:10">
      <c r="B423" s="18"/>
      <c r="D423" s="19"/>
      <c r="J423" s="20"/>
    </row>
    <row r="424" spans="2:10">
      <c r="B424" s="18"/>
      <c r="D424" s="19"/>
      <c r="J424" s="20"/>
    </row>
    <row r="425" spans="2:10">
      <c r="B425" s="18"/>
      <c r="D425" s="19"/>
      <c r="J425" s="20"/>
    </row>
    <row r="426" spans="2:10">
      <c r="B426" s="18"/>
      <c r="D426" s="19"/>
      <c r="J426" s="20"/>
    </row>
    <row r="427" spans="2:10">
      <c r="B427" s="18"/>
      <c r="D427" s="19"/>
      <c r="J427" s="20"/>
    </row>
    <row r="428" spans="2:10">
      <c r="B428" s="18"/>
      <c r="D428" s="19"/>
      <c r="J428" s="20"/>
    </row>
    <row r="429" spans="2:10">
      <c r="B429" s="18"/>
      <c r="D429" s="19"/>
      <c r="J429" s="20"/>
    </row>
    <row r="430" spans="2:10">
      <c r="B430" s="18"/>
      <c r="D430" s="19"/>
      <c r="J430" s="20"/>
    </row>
    <row r="431" spans="2:10">
      <c r="B431" s="18"/>
      <c r="D431" s="19"/>
      <c r="J431" s="20"/>
    </row>
    <row r="432" spans="2:10">
      <c r="B432" s="18"/>
      <c r="D432" s="19"/>
      <c r="J432" s="20"/>
    </row>
    <row r="433" spans="2:10">
      <c r="B433" s="18"/>
      <c r="D433" s="19"/>
      <c r="J433" s="20"/>
    </row>
    <row r="434" spans="2:10">
      <c r="B434" s="18"/>
      <c r="D434" s="19"/>
      <c r="J434" s="20"/>
    </row>
    <row r="435" spans="2:10">
      <c r="B435" s="18"/>
      <c r="D435" s="19"/>
      <c r="J435" s="20"/>
    </row>
    <row r="436" spans="2:10">
      <c r="B436" s="18"/>
      <c r="D436" s="19"/>
      <c r="J436" s="20"/>
    </row>
    <row r="437" spans="2:10">
      <c r="B437" s="18"/>
      <c r="D437" s="19"/>
      <c r="J437" s="20"/>
    </row>
    <row r="438" spans="2:10">
      <c r="B438" s="18"/>
      <c r="D438" s="19"/>
      <c r="J438" s="20"/>
    </row>
    <row r="439" spans="2:10">
      <c r="B439" s="18"/>
      <c r="D439" s="19"/>
      <c r="J439" s="20"/>
    </row>
    <row r="440" spans="2:10">
      <c r="B440" s="18"/>
      <c r="D440" s="19"/>
      <c r="J440" s="20"/>
    </row>
    <row r="441" spans="2:10">
      <c r="B441" s="18"/>
      <c r="D441" s="19"/>
      <c r="J441" s="20"/>
    </row>
    <row r="442" spans="2:10">
      <c r="B442" s="18"/>
      <c r="D442" s="19"/>
      <c r="J442" s="20"/>
    </row>
    <row r="443" spans="2:10">
      <c r="B443" s="18"/>
      <c r="D443" s="19"/>
      <c r="J443" s="20"/>
    </row>
    <row r="444" spans="2:10">
      <c r="B444" s="18"/>
      <c r="D444" s="19"/>
      <c r="J444" s="20"/>
    </row>
    <row r="445" spans="2:10">
      <c r="B445" s="18"/>
      <c r="D445" s="19"/>
      <c r="J445" s="20"/>
    </row>
    <row r="446" spans="2:10">
      <c r="B446" s="18"/>
      <c r="D446" s="19"/>
      <c r="J446" s="20"/>
    </row>
    <row r="447" spans="2:10">
      <c r="B447" s="18"/>
      <c r="D447" s="19"/>
      <c r="J447" s="20"/>
    </row>
    <row r="448" spans="2:10">
      <c r="B448" s="18"/>
      <c r="D448" s="19"/>
      <c r="J448" s="20"/>
    </row>
    <row r="449" spans="2:10">
      <c r="B449" s="18"/>
      <c r="D449" s="19"/>
      <c r="J449" s="20"/>
    </row>
    <row r="450" spans="2:10">
      <c r="B450" s="18"/>
      <c r="D450" s="19"/>
      <c r="J450" s="20"/>
    </row>
    <row r="451" spans="2:10">
      <c r="B451" s="18"/>
      <c r="D451" s="19"/>
      <c r="J451" s="20"/>
    </row>
    <row r="452" spans="2:10">
      <c r="B452" s="18"/>
      <c r="D452" s="19"/>
      <c r="J452" s="20"/>
    </row>
    <row r="453" spans="2:10">
      <c r="B453" s="18"/>
      <c r="D453" s="19"/>
      <c r="J453" s="20"/>
    </row>
    <row r="454" spans="2:10">
      <c r="B454" s="18"/>
      <c r="D454" s="19"/>
      <c r="J454" s="20"/>
    </row>
    <row r="455" spans="2:10">
      <c r="B455" s="18"/>
      <c r="D455" s="19"/>
      <c r="J455" s="20"/>
    </row>
    <row r="456" spans="2:10">
      <c r="B456" s="18"/>
      <c r="D456" s="19"/>
      <c r="J456" s="20"/>
    </row>
    <row r="457" spans="2:10">
      <c r="B457" s="18"/>
      <c r="D457" s="19"/>
      <c r="J457" s="20"/>
    </row>
    <row r="458" spans="2:10">
      <c r="B458" s="18"/>
      <c r="D458" s="19"/>
      <c r="J458" s="20"/>
    </row>
    <row r="459" spans="2:10">
      <c r="B459" s="18"/>
      <c r="D459" s="19"/>
      <c r="J459" s="20"/>
    </row>
    <row r="460" spans="2:10">
      <c r="B460" s="18"/>
      <c r="D460" s="19"/>
      <c r="J460" s="20"/>
    </row>
    <row r="461" spans="2:10">
      <c r="B461" s="18"/>
      <c r="D461" s="19"/>
      <c r="J461" s="20"/>
    </row>
    <row r="462" spans="2:10">
      <c r="B462" s="18"/>
      <c r="D462" s="19"/>
      <c r="J462" s="20"/>
    </row>
    <row r="463" spans="2:10">
      <c r="B463" s="18"/>
      <c r="D463" s="19"/>
      <c r="J463" s="20"/>
    </row>
    <row r="464" spans="2:10">
      <c r="B464" s="18"/>
      <c r="D464" s="19"/>
      <c r="J464" s="20"/>
    </row>
    <row r="465" spans="2:10">
      <c r="B465" s="18"/>
      <c r="D465" s="19"/>
      <c r="J465" s="20"/>
    </row>
    <row r="466" spans="2:10">
      <c r="B466" s="18"/>
      <c r="D466" s="19"/>
      <c r="J466" s="20"/>
    </row>
    <row r="467" spans="2:10">
      <c r="B467" s="18"/>
      <c r="D467" s="19"/>
      <c r="J467" s="20"/>
    </row>
    <row r="468" spans="2:10">
      <c r="B468" s="18"/>
      <c r="D468" s="19"/>
      <c r="J468" s="20"/>
    </row>
    <row r="469" spans="2:10">
      <c r="B469" s="18"/>
      <c r="D469" s="19"/>
      <c r="J469" s="20"/>
    </row>
    <row r="470" spans="2:10">
      <c r="B470" s="18"/>
      <c r="D470" s="19"/>
      <c r="J470" s="20"/>
    </row>
    <row r="471" spans="2:10">
      <c r="B471" s="18"/>
      <c r="D471" s="19"/>
      <c r="J471" s="20"/>
    </row>
    <row r="472" spans="2:10">
      <c r="B472" s="18"/>
      <c r="D472" s="19"/>
      <c r="J472" s="20"/>
    </row>
    <row r="473" spans="2:10">
      <c r="B473" s="18"/>
      <c r="D473" s="19"/>
      <c r="J473" s="20"/>
    </row>
    <row r="474" spans="2:10">
      <c r="B474" s="18"/>
      <c r="D474" s="19"/>
      <c r="J474" s="20"/>
    </row>
    <row r="475" spans="2:10">
      <c r="B475" s="18"/>
      <c r="D475" s="19"/>
      <c r="J475" s="20"/>
    </row>
    <row r="476" spans="2:10">
      <c r="B476" s="18"/>
      <c r="D476" s="19"/>
      <c r="J476" s="20"/>
    </row>
    <row r="477" spans="2:10">
      <c r="B477" s="18"/>
      <c r="D477" s="19"/>
      <c r="J477" s="20"/>
    </row>
    <row r="478" spans="2:10">
      <c r="B478" s="18"/>
      <c r="D478" s="19"/>
      <c r="J478" s="20"/>
    </row>
    <row r="479" spans="2:10">
      <c r="B479" s="18"/>
      <c r="D479" s="19"/>
      <c r="J479" s="20"/>
    </row>
    <row r="480" spans="2:10">
      <c r="B480" s="18"/>
      <c r="D480" s="19"/>
      <c r="J480" s="20"/>
    </row>
    <row r="481" spans="2:10">
      <c r="B481" s="18"/>
      <c r="D481" s="19"/>
      <c r="J481" s="20"/>
    </row>
    <row r="482" spans="2:10">
      <c r="B482" s="18"/>
      <c r="D482" s="19"/>
      <c r="J482" s="20"/>
    </row>
    <row r="483" spans="2:10">
      <c r="B483" s="18"/>
      <c r="D483" s="19"/>
      <c r="J483" s="20"/>
    </row>
    <row r="484" spans="2:10">
      <c r="B484" s="18"/>
      <c r="D484" s="19"/>
      <c r="J484" s="20"/>
    </row>
    <row r="485" spans="2:10">
      <c r="B485" s="18"/>
      <c r="D485" s="19"/>
      <c r="J485" s="20"/>
    </row>
    <row r="486" spans="2:10">
      <c r="B486" s="18"/>
      <c r="D486" s="19"/>
      <c r="J486" s="20"/>
    </row>
    <row r="487" spans="2:10">
      <c r="B487" s="18"/>
      <c r="D487" s="19"/>
      <c r="J487" s="20"/>
    </row>
    <row r="488" spans="2:10">
      <c r="B488" s="18"/>
      <c r="D488" s="19"/>
      <c r="J488" s="20"/>
    </row>
    <row r="489" spans="2:10">
      <c r="B489" s="18"/>
      <c r="D489" s="19"/>
      <c r="J489" s="20"/>
    </row>
    <row r="490" spans="2:10">
      <c r="B490" s="18"/>
      <c r="D490" s="19"/>
      <c r="J490" s="20"/>
    </row>
    <row r="491" spans="2:10">
      <c r="B491" s="18"/>
      <c r="D491" s="19"/>
      <c r="J491" s="20"/>
    </row>
    <row r="492" spans="2:10">
      <c r="B492" s="18"/>
      <c r="D492" s="19"/>
      <c r="J492" s="20"/>
    </row>
    <row r="493" spans="2:10">
      <c r="B493" s="18"/>
      <c r="D493" s="19"/>
      <c r="J493" s="20"/>
    </row>
    <row r="494" spans="2:10">
      <c r="B494" s="18"/>
      <c r="D494" s="19"/>
      <c r="J494" s="20"/>
    </row>
    <row r="495" spans="2:10">
      <c r="B495" s="18"/>
      <c r="D495" s="19"/>
      <c r="J495" s="20"/>
    </row>
    <row r="496" spans="2:10">
      <c r="B496" s="18"/>
      <c r="D496" s="19"/>
      <c r="J496" s="20"/>
    </row>
    <row r="497" spans="2:10">
      <c r="B497" s="18"/>
      <c r="D497" s="19"/>
      <c r="J497" s="20"/>
    </row>
    <row r="498" spans="2:10">
      <c r="B498" s="18"/>
      <c r="D498" s="19"/>
      <c r="J498" s="20"/>
    </row>
    <row r="499" spans="2:10">
      <c r="B499" s="18"/>
      <c r="D499" s="19"/>
      <c r="J499" s="20"/>
    </row>
    <row r="500" spans="2:10">
      <c r="B500" s="18"/>
      <c r="D500" s="19"/>
      <c r="J500" s="20"/>
    </row>
    <row r="501" spans="2:10">
      <c r="B501" s="18"/>
      <c r="D501" s="19"/>
      <c r="J501" s="20"/>
    </row>
    <row r="502" spans="2:10">
      <c r="B502" s="18"/>
      <c r="D502" s="19"/>
      <c r="J502" s="20"/>
    </row>
    <row r="503" spans="2:10">
      <c r="B503" s="18"/>
      <c r="D503" s="19"/>
      <c r="J503" s="20"/>
    </row>
    <row r="504" spans="2:10">
      <c r="B504" s="18"/>
      <c r="D504" s="19"/>
      <c r="J504" s="20"/>
    </row>
    <row r="505" spans="2:10">
      <c r="B505" s="18"/>
      <c r="D505" s="19"/>
      <c r="J505" s="20"/>
    </row>
    <row r="506" spans="2:10">
      <c r="B506" s="18"/>
      <c r="D506" s="19"/>
      <c r="J506" s="20"/>
    </row>
    <row r="507" spans="2:10">
      <c r="B507" s="18"/>
      <c r="D507" s="19"/>
      <c r="J507" s="20"/>
    </row>
    <row r="508" spans="2:10">
      <c r="B508" s="18"/>
      <c r="D508" s="19"/>
      <c r="J508" s="20"/>
    </row>
    <row r="509" spans="2:10">
      <c r="B509" s="18"/>
      <c r="D509" s="19"/>
      <c r="J509" s="20"/>
    </row>
    <row r="510" spans="2:10">
      <c r="B510" s="18"/>
      <c r="D510" s="19"/>
      <c r="J510" s="20"/>
    </row>
    <row r="511" spans="2:10">
      <c r="B511" s="18"/>
      <c r="D511" s="19"/>
      <c r="J511" s="20"/>
    </row>
    <row r="512" spans="2:10">
      <c r="B512" s="18"/>
      <c r="D512" s="19"/>
      <c r="J512" s="20"/>
    </row>
    <row r="513" spans="2:10">
      <c r="B513" s="18"/>
      <c r="D513" s="19"/>
      <c r="J513" s="20"/>
    </row>
    <row r="514" spans="2:10">
      <c r="B514" s="18"/>
      <c r="D514" s="19"/>
      <c r="J514" s="20"/>
    </row>
    <row r="515" spans="2:10">
      <c r="B515" s="18"/>
      <c r="D515" s="19"/>
      <c r="J515" s="20"/>
    </row>
    <row r="516" spans="2:10">
      <c r="B516" s="18"/>
      <c r="D516" s="19"/>
      <c r="J516" s="20"/>
    </row>
    <row r="517" spans="2:10">
      <c r="B517" s="18"/>
      <c r="D517" s="19"/>
      <c r="J517" s="20"/>
    </row>
    <row r="518" spans="2:10">
      <c r="B518" s="18"/>
      <c r="D518" s="19"/>
      <c r="J518" s="20"/>
    </row>
    <row r="519" spans="2:10">
      <c r="B519" s="18"/>
      <c r="D519" s="19"/>
      <c r="J519" s="20"/>
    </row>
    <row r="520" spans="2:10">
      <c r="B520" s="18"/>
      <c r="D520" s="19"/>
      <c r="J520" s="20"/>
    </row>
    <row r="521" spans="2:10">
      <c r="B521" s="18"/>
      <c r="D521" s="19"/>
      <c r="J521" s="20"/>
    </row>
    <row r="522" spans="2:10">
      <c r="B522" s="18"/>
      <c r="D522" s="19"/>
      <c r="J522" s="20"/>
    </row>
    <row r="523" spans="2:10">
      <c r="B523" s="18"/>
      <c r="D523" s="19"/>
      <c r="J523" s="20"/>
    </row>
    <row r="524" spans="2:10">
      <c r="B524" s="18"/>
      <c r="D524" s="19"/>
      <c r="J524" s="20"/>
    </row>
    <row r="525" spans="2:10">
      <c r="B525" s="18"/>
      <c r="D525" s="19"/>
      <c r="J525" s="20"/>
    </row>
    <row r="526" spans="2:10">
      <c r="B526" s="18"/>
      <c r="D526" s="19"/>
      <c r="J526" s="20"/>
    </row>
    <row r="527" spans="2:10">
      <c r="B527" s="18"/>
      <c r="D527" s="19"/>
      <c r="J527" s="20"/>
    </row>
    <row r="528" spans="2:10">
      <c r="B528" s="18"/>
      <c r="D528" s="19"/>
      <c r="J528" s="20"/>
    </row>
    <row r="529" spans="2:10">
      <c r="B529" s="18"/>
      <c r="D529" s="19"/>
      <c r="J529" s="20"/>
    </row>
    <row r="530" spans="2:10">
      <c r="B530" s="18"/>
      <c r="D530" s="19"/>
      <c r="J530" s="20"/>
    </row>
    <row r="531" spans="2:10">
      <c r="B531" s="18"/>
      <c r="D531" s="19"/>
      <c r="J531" s="20"/>
    </row>
    <row r="532" spans="2:10">
      <c r="B532" s="18"/>
      <c r="D532" s="19"/>
      <c r="J532" s="20"/>
    </row>
    <row r="533" spans="2:10">
      <c r="B533" s="18"/>
      <c r="D533" s="19"/>
      <c r="J533" s="20"/>
    </row>
    <row r="534" spans="2:10">
      <c r="B534" s="18"/>
      <c r="D534" s="19"/>
      <c r="J534" s="20"/>
    </row>
    <row r="535" spans="2:10">
      <c r="B535" s="18"/>
      <c r="D535" s="19"/>
      <c r="J535" s="20"/>
    </row>
    <row r="536" spans="2:10">
      <c r="B536" s="18"/>
      <c r="D536" s="19"/>
      <c r="J536" s="20"/>
    </row>
    <row r="537" spans="2:10">
      <c r="B537" s="18"/>
      <c r="D537" s="19"/>
      <c r="J537" s="20"/>
    </row>
    <row r="538" spans="2:10">
      <c r="B538" s="18"/>
      <c r="D538" s="19"/>
      <c r="J538" s="20"/>
    </row>
    <row r="539" spans="2:10">
      <c r="B539" s="18"/>
      <c r="D539" s="19"/>
      <c r="J539" s="20"/>
    </row>
    <row r="540" spans="2:10">
      <c r="B540" s="18"/>
      <c r="D540" s="19"/>
      <c r="J540" s="20"/>
    </row>
    <row r="541" spans="2:10">
      <c r="B541" s="18"/>
      <c r="D541" s="19"/>
      <c r="J541" s="20"/>
    </row>
    <row r="542" spans="2:10">
      <c r="B542" s="18"/>
      <c r="D542" s="19"/>
      <c r="J542" s="20"/>
    </row>
    <row r="543" spans="2:10">
      <c r="B543" s="18"/>
      <c r="D543" s="19"/>
      <c r="J543" s="20"/>
    </row>
    <row r="544" spans="2:10">
      <c r="B544" s="18"/>
      <c r="D544" s="19"/>
      <c r="J544" s="20"/>
    </row>
    <row r="545" spans="2:10">
      <c r="B545" s="18"/>
      <c r="D545" s="19"/>
      <c r="J545" s="20"/>
    </row>
    <row r="546" spans="2:10">
      <c r="B546" s="18"/>
      <c r="D546" s="19"/>
      <c r="J546" s="20"/>
    </row>
    <row r="547" spans="2:10">
      <c r="B547" s="18"/>
      <c r="D547" s="19"/>
      <c r="J547" s="20"/>
    </row>
    <row r="548" spans="2:10">
      <c r="B548" s="18"/>
      <c r="D548" s="19"/>
      <c r="J548" s="20"/>
    </row>
    <row r="549" spans="2:10">
      <c r="B549" s="18"/>
      <c r="D549" s="19"/>
      <c r="J549" s="20"/>
    </row>
    <row r="550" spans="2:10">
      <c r="B550" s="18"/>
      <c r="D550" s="19"/>
      <c r="J550" s="20"/>
    </row>
    <row r="551" spans="2:10">
      <c r="B551" s="18"/>
      <c r="D551" s="19"/>
      <c r="J551" s="20"/>
    </row>
    <row r="552" spans="2:10">
      <c r="B552" s="18"/>
      <c r="D552" s="19"/>
      <c r="J552" s="20"/>
    </row>
    <row r="553" spans="2:10">
      <c r="B553" s="18"/>
      <c r="D553" s="19"/>
      <c r="J553" s="20"/>
    </row>
    <row r="554" spans="2:10">
      <c r="B554" s="18"/>
      <c r="D554" s="19"/>
      <c r="J554" s="20"/>
    </row>
    <row r="555" spans="2:10">
      <c r="B555" s="18"/>
      <c r="D555" s="19"/>
      <c r="J555" s="20"/>
    </row>
    <row r="556" spans="2:10">
      <c r="B556" s="18"/>
      <c r="D556" s="19"/>
      <c r="J556" s="20"/>
    </row>
    <row r="557" spans="2:10">
      <c r="B557" s="18"/>
      <c r="D557" s="19"/>
      <c r="J557" s="20"/>
    </row>
    <row r="558" spans="2:10">
      <c r="B558" s="18"/>
      <c r="D558" s="19"/>
      <c r="J558" s="20"/>
    </row>
    <row r="559" spans="2:10">
      <c r="B559" s="18"/>
      <c r="D559" s="19"/>
      <c r="J559" s="20"/>
    </row>
    <row r="560" spans="2:10">
      <c r="B560" s="18"/>
      <c r="D560" s="19"/>
      <c r="J560" s="20"/>
    </row>
    <row r="561" spans="2:10">
      <c r="B561" s="18"/>
      <c r="D561" s="19"/>
      <c r="J561" s="20"/>
    </row>
    <row r="562" spans="2:10">
      <c r="B562" s="18"/>
      <c r="D562" s="19"/>
      <c r="J562" s="20"/>
    </row>
    <row r="563" spans="2:10">
      <c r="B563" s="18"/>
      <c r="D563" s="19"/>
      <c r="J563" s="20"/>
    </row>
    <row r="564" spans="2:10">
      <c r="B564" s="18"/>
      <c r="D564" s="19"/>
      <c r="J564" s="20"/>
    </row>
    <row r="565" spans="2:10">
      <c r="B565" s="18"/>
      <c r="D565" s="19"/>
      <c r="J565" s="20"/>
    </row>
    <row r="566" spans="2:10">
      <c r="B566" s="18"/>
      <c r="D566" s="19"/>
      <c r="J566" s="20"/>
    </row>
    <row r="567" spans="2:10">
      <c r="B567" s="18"/>
      <c r="D567" s="19"/>
      <c r="J567" s="20"/>
    </row>
    <row r="568" spans="2:10">
      <c r="B568" s="18"/>
      <c r="D568" s="19"/>
      <c r="J568" s="20"/>
    </row>
    <row r="569" spans="2:10">
      <c r="B569" s="18"/>
      <c r="D569" s="19"/>
      <c r="J569" s="20"/>
    </row>
    <row r="570" spans="2:10">
      <c r="B570" s="18"/>
      <c r="D570" s="19"/>
      <c r="J570" s="20"/>
    </row>
    <row r="571" spans="2:10">
      <c r="B571" s="18"/>
      <c r="D571" s="19"/>
      <c r="J571" s="20"/>
    </row>
    <row r="572" spans="2:10">
      <c r="B572" s="18"/>
      <c r="D572" s="19"/>
      <c r="J572" s="20"/>
    </row>
    <row r="573" spans="2:10">
      <c r="B573" s="18"/>
      <c r="D573" s="19"/>
      <c r="J573" s="20"/>
    </row>
    <row r="574" spans="2:10">
      <c r="B574" s="18"/>
      <c r="D574" s="19"/>
      <c r="J574" s="20"/>
    </row>
    <row r="575" spans="2:10">
      <c r="B575" s="18"/>
      <c r="D575" s="19"/>
      <c r="J575" s="20"/>
    </row>
    <row r="576" spans="2:10">
      <c r="B576" s="18"/>
      <c r="D576" s="19"/>
      <c r="J576" s="20"/>
    </row>
    <row r="577" spans="2:10">
      <c r="B577" s="18"/>
      <c r="D577" s="19"/>
      <c r="J577" s="20"/>
    </row>
    <row r="578" spans="2:10">
      <c r="B578" s="18"/>
      <c r="D578" s="19"/>
      <c r="J578" s="20"/>
    </row>
    <row r="579" spans="2:10">
      <c r="B579" s="18"/>
      <c r="D579" s="19"/>
      <c r="J579" s="20"/>
    </row>
    <row r="580" spans="2:10">
      <c r="B580" s="18"/>
      <c r="D580" s="19"/>
      <c r="J580" s="20"/>
    </row>
    <row r="581" spans="2:10">
      <c r="B581" s="18"/>
      <c r="D581" s="19"/>
      <c r="J581" s="20"/>
    </row>
    <row r="582" spans="2:10">
      <c r="B582" s="18"/>
      <c r="D582" s="19"/>
      <c r="J582" s="20"/>
    </row>
    <row r="583" spans="2:10">
      <c r="B583" s="18"/>
      <c r="D583" s="19"/>
      <c r="J583" s="20"/>
    </row>
    <row r="584" spans="2:10">
      <c r="B584" s="18"/>
      <c r="D584" s="19"/>
      <c r="J584" s="20"/>
    </row>
    <row r="585" spans="2:10">
      <c r="B585" s="18"/>
      <c r="D585" s="19"/>
      <c r="J585" s="20"/>
    </row>
    <row r="586" spans="2:10">
      <c r="B586" s="18"/>
      <c r="D586" s="19"/>
      <c r="J586" s="20"/>
    </row>
    <row r="587" spans="2:10">
      <c r="B587" s="18"/>
      <c r="D587" s="19"/>
      <c r="J587" s="20"/>
    </row>
    <row r="588" spans="2:10">
      <c r="B588" s="18"/>
      <c r="D588" s="19"/>
      <c r="J588" s="20"/>
    </row>
    <row r="589" spans="2:10">
      <c r="B589" s="18"/>
      <c r="D589" s="19"/>
      <c r="J589" s="20"/>
    </row>
    <row r="590" spans="2:10">
      <c r="B590" s="18"/>
      <c r="D590" s="19"/>
      <c r="J590" s="20"/>
    </row>
    <row r="591" spans="2:10">
      <c r="B591" s="18"/>
      <c r="D591" s="19"/>
      <c r="J591" s="20"/>
    </row>
    <row r="592" spans="2:10">
      <c r="B592" s="18"/>
      <c r="D592" s="19"/>
      <c r="J592" s="20"/>
    </row>
    <row r="593" spans="2:10">
      <c r="B593" s="18"/>
      <c r="D593" s="19"/>
      <c r="J593" s="20"/>
    </row>
    <row r="594" spans="2:10">
      <c r="B594" s="18"/>
      <c r="D594" s="19"/>
      <c r="J594" s="20"/>
    </row>
    <row r="595" spans="2:10">
      <c r="B595" s="18"/>
      <c r="D595" s="19"/>
      <c r="J595" s="20"/>
    </row>
    <row r="596" spans="2:10">
      <c r="B596" s="18"/>
      <c r="D596" s="19"/>
      <c r="J596" s="20"/>
    </row>
    <row r="597" spans="2:10">
      <c r="B597" s="18"/>
      <c r="D597" s="19"/>
      <c r="J597" s="20"/>
    </row>
    <row r="598" spans="2:10">
      <c r="B598" s="18"/>
      <c r="D598" s="19"/>
      <c r="J598" s="20"/>
    </row>
    <row r="599" spans="2:10">
      <c r="B599" s="18"/>
      <c r="D599" s="19"/>
      <c r="J599" s="20"/>
    </row>
    <row r="600" spans="2:10">
      <c r="B600" s="18"/>
      <c r="D600" s="19"/>
      <c r="J600" s="20"/>
    </row>
    <row r="601" spans="2:10">
      <c r="B601" s="18"/>
      <c r="D601" s="19"/>
      <c r="J601" s="20"/>
    </row>
    <row r="602" spans="2:10">
      <c r="B602" s="18"/>
      <c r="D602" s="19"/>
      <c r="J602" s="20"/>
    </row>
    <row r="603" spans="2:10">
      <c r="B603" s="18"/>
      <c r="D603" s="19"/>
      <c r="J603" s="20"/>
    </row>
    <row r="604" spans="2:10">
      <c r="B604" s="18"/>
      <c r="D604" s="19"/>
      <c r="J604" s="20"/>
    </row>
    <row r="605" spans="2:10">
      <c r="B605" s="18"/>
      <c r="D605" s="19"/>
      <c r="J605" s="20"/>
    </row>
    <row r="606" spans="2:10">
      <c r="B606" s="18"/>
      <c r="D606" s="19"/>
      <c r="J606" s="20"/>
    </row>
    <row r="607" spans="2:10">
      <c r="B607" s="18"/>
      <c r="D607" s="19"/>
      <c r="J607" s="20"/>
    </row>
    <row r="608" spans="2:10">
      <c r="B608" s="18"/>
      <c r="D608" s="19"/>
      <c r="J608" s="20"/>
    </row>
    <row r="609" spans="2:10">
      <c r="B609" s="18"/>
      <c r="D609" s="19"/>
      <c r="J609" s="20"/>
    </row>
    <row r="610" spans="2:10">
      <c r="B610" s="18"/>
      <c r="D610" s="19"/>
      <c r="J610" s="20"/>
    </row>
    <row r="611" spans="2:10">
      <c r="B611" s="18"/>
      <c r="D611" s="19"/>
      <c r="J611" s="20"/>
    </row>
    <row r="612" spans="2:10">
      <c r="B612" s="18"/>
      <c r="D612" s="19"/>
      <c r="J612" s="20"/>
    </row>
    <row r="613" spans="2:10">
      <c r="B613" s="18"/>
      <c r="D613" s="19"/>
      <c r="J613" s="20"/>
    </row>
    <row r="614" spans="2:10">
      <c r="B614" s="18"/>
      <c r="D614" s="19"/>
      <c r="J614" s="20"/>
    </row>
    <row r="615" spans="2:10">
      <c r="B615" s="18"/>
      <c r="D615" s="19"/>
      <c r="J615" s="20"/>
    </row>
    <row r="616" spans="2:10">
      <c r="B616" s="18"/>
      <c r="D616" s="19"/>
      <c r="J616" s="20"/>
    </row>
    <row r="617" spans="2:10">
      <c r="B617" s="18"/>
      <c r="D617" s="19"/>
      <c r="J617" s="20"/>
    </row>
    <row r="618" spans="2:10">
      <c r="B618" s="18"/>
      <c r="D618" s="19"/>
      <c r="J618" s="20"/>
    </row>
    <row r="619" spans="2:10">
      <c r="B619" s="18"/>
      <c r="D619" s="19"/>
      <c r="J619" s="20"/>
    </row>
    <row r="620" spans="2:10">
      <c r="B620" s="18"/>
      <c r="D620" s="19"/>
      <c r="J620" s="20"/>
    </row>
    <row r="621" spans="2:10">
      <c r="B621" s="18"/>
      <c r="D621" s="19"/>
      <c r="J621" s="20"/>
    </row>
    <row r="622" spans="2:10">
      <c r="B622" s="18"/>
      <c r="D622" s="19"/>
      <c r="J622" s="20"/>
    </row>
    <row r="623" spans="2:10">
      <c r="B623" s="18"/>
      <c r="D623" s="19"/>
      <c r="J623" s="20"/>
    </row>
    <row r="624" spans="2:10">
      <c r="B624" s="18"/>
      <c r="D624" s="19"/>
      <c r="J624" s="20"/>
    </row>
    <row r="625" spans="2:10">
      <c r="B625" s="18"/>
      <c r="D625" s="19"/>
      <c r="J625" s="20"/>
    </row>
    <row r="626" spans="2:10">
      <c r="B626" s="18"/>
      <c r="D626" s="19"/>
      <c r="J626" s="20"/>
    </row>
    <row r="627" spans="2:10">
      <c r="B627" s="18"/>
      <c r="D627" s="19"/>
      <c r="J627" s="20"/>
    </row>
    <row r="628" spans="2:10">
      <c r="B628" s="18"/>
      <c r="D628" s="19"/>
      <c r="J628" s="20"/>
    </row>
    <row r="629" spans="2:10">
      <c r="B629" s="18"/>
      <c r="D629" s="19"/>
      <c r="J629" s="20"/>
    </row>
    <row r="630" spans="2:10">
      <c r="B630" s="18"/>
      <c r="D630" s="19"/>
      <c r="J630" s="20"/>
    </row>
    <row r="631" spans="2:10">
      <c r="B631" s="18"/>
      <c r="D631" s="19"/>
      <c r="J631" s="20"/>
    </row>
    <row r="632" spans="2:10">
      <c r="B632" s="18"/>
      <c r="D632" s="19"/>
      <c r="J632" s="20"/>
    </row>
    <row r="633" spans="2:10">
      <c r="B633" s="18"/>
      <c r="D633" s="19"/>
      <c r="J633" s="20"/>
    </row>
    <row r="634" spans="2:10">
      <c r="B634" s="18"/>
      <c r="D634" s="19"/>
      <c r="J634" s="20"/>
    </row>
    <row r="635" spans="2:10">
      <c r="B635" s="18"/>
      <c r="D635" s="19"/>
      <c r="J635" s="20"/>
    </row>
    <row r="636" spans="2:10">
      <c r="B636" s="18"/>
      <c r="D636" s="19"/>
      <c r="J636" s="20"/>
    </row>
    <row r="637" spans="2:10">
      <c r="B637" s="18"/>
      <c r="D637" s="19"/>
      <c r="J637" s="20"/>
    </row>
    <row r="638" spans="2:10">
      <c r="B638" s="18"/>
      <c r="D638" s="19"/>
      <c r="J638" s="20"/>
    </row>
    <row r="639" spans="2:10">
      <c r="B639" s="18"/>
      <c r="D639" s="19"/>
      <c r="J639" s="20"/>
    </row>
    <row r="640" spans="2:10">
      <c r="B640" s="18"/>
      <c r="D640" s="19"/>
      <c r="J640" s="20"/>
    </row>
    <row r="641" spans="2:10">
      <c r="B641" s="18"/>
      <c r="D641" s="19"/>
      <c r="J641" s="20"/>
    </row>
    <row r="642" spans="2:10">
      <c r="B642" s="18"/>
      <c r="D642" s="19"/>
      <c r="J642" s="20"/>
    </row>
    <row r="643" spans="2:10">
      <c r="B643" s="18"/>
      <c r="D643" s="19"/>
      <c r="J643" s="20"/>
    </row>
    <row r="644" spans="2:10">
      <c r="B644" s="18"/>
      <c r="D644" s="19"/>
      <c r="J644" s="20"/>
    </row>
    <row r="645" spans="2:10">
      <c r="B645" s="18"/>
      <c r="D645" s="19"/>
      <c r="J645" s="20"/>
    </row>
    <row r="646" spans="2:10">
      <c r="B646" s="18"/>
      <c r="D646" s="19"/>
      <c r="J646" s="20"/>
    </row>
    <row r="647" spans="2:10">
      <c r="B647" s="18"/>
      <c r="D647" s="19"/>
      <c r="J647" s="20"/>
    </row>
    <row r="648" spans="2:10">
      <c r="B648" s="18"/>
      <c r="D648" s="19"/>
      <c r="J648" s="20"/>
    </row>
    <row r="649" spans="2:10">
      <c r="B649" s="18"/>
      <c r="D649" s="19"/>
      <c r="J649" s="20"/>
    </row>
    <row r="650" spans="2:10">
      <c r="B650" s="18"/>
      <c r="D650" s="19"/>
      <c r="J650" s="20"/>
    </row>
    <row r="651" spans="2:10">
      <c r="B651" s="18"/>
      <c r="D651" s="19"/>
      <c r="J651" s="20"/>
    </row>
    <row r="652" spans="2:10">
      <c r="B652" s="18"/>
      <c r="D652" s="19"/>
      <c r="J652" s="20"/>
    </row>
    <row r="653" spans="2:10">
      <c r="B653" s="18"/>
      <c r="D653" s="19"/>
      <c r="J653" s="20"/>
    </row>
    <row r="654" spans="2:10">
      <c r="B654" s="18"/>
      <c r="D654" s="19"/>
      <c r="J654" s="20"/>
    </row>
    <row r="655" spans="2:10">
      <c r="B655" s="18"/>
      <c r="D655" s="19"/>
      <c r="J655" s="20"/>
    </row>
    <row r="656" spans="2:10">
      <c r="B656" s="18"/>
      <c r="D656" s="19"/>
      <c r="J656" s="20"/>
    </row>
    <row r="657" spans="2:10">
      <c r="B657" s="18"/>
      <c r="D657" s="19"/>
      <c r="J657" s="20"/>
    </row>
    <row r="658" spans="2:10">
      <c r="B658" s="18"/>
      <c r="D658" s="19"/>
      <c r="J658" s="20"/>
    </row>
    <row r="659" spans="2:10">
      <c r="B659" s="18"/>
      <c r="D659" s="19"/>
      <c r="J659" s="20"/>
    </row>
    <row r="660" spans="2:10">
      <c r="B660" s="18"/>
      <c r="D660" s="19"/>
      <c r="J660" s="20"/>
    </row>
    <row r="661" spans="2:10">
      <c r="B661" s="18"/>
      <c r="D661" s="19"/>
      <c r="J661" s="20"/>
    </row>
    <row r="662" spans="2:10">
      <c r="B662" s="18"/>
      <c r="D662" s="19"/>
      <c r="J662" s="20"/>
    </row>
    <row r="663" spans="2:10">
      <c r="B663" s="18"/>
      <c r="D663" s="19"/>
      <c r="J663" s="20"/>
    </row>
    <row r="664" spans="2:10">
      <c r="B664" s="18"/>
      <c r="D664" s="19"/>
      <c r="J664" s="20"/>
    </row>
    <row r="665" spans="2:10">
      <c r="B665" s="18"/>
      <c r="D665" s="19"/>
      <c r="J665" s="20"/>
    </row>
    <row r="666" spans="2:10">
      <c r="B666" s="18"/>
      <c r="D666" s="19"/>
      <c r="J666" s="20"/>
    </row>
    <row r="667" spans="2:10">
      <c r="B667" s="18"/>
      <c r="D667" s="19"/>
      <c r="J667" s="20"/>
    </row>
    <row r="668" spans="2:10">
      <c r="B668" s="18"/>
      <c r="D668" s="19"/>
      <c r="J668" s="20"/>
    </row>
    <row r="669" spans="2:10">
      <c r="B669" s="18"/>
      <c r="D669" s="19"/>
      <c r="J669" s="20"/>
    </row>
    <row r="670" spans="2:10">
      <c r="B670" s="18"/>
      <c r="D670" s="19"/>
      <c r="J670" s="20"/>
    </row>
    <row r="671" spans="2:10">
      <c r="B671" s="18"/>
      <c r="D671" s="19"/>
      <c r="J671" s="20"/>
    </row>
    <row r="672" spans="2:10">
      <c r="B672" s="18"/>
      <c r="D672" s="19"/>
      <c r="J672" s="20"/>
    </row>
    <row r="673" spans="2:10">
      <c r="B673" s="18"/>
      <c r="D673" s="19"/>
      <c r="J673" s="20"/>
    </row>
    <row r="674" spans="2:10">
      <c r="B674" s="18"/>
      <c r="D674" s="19"/>
      <c r="J674" s="20"/>
    </row>
    <row r="675" spans="2:10">
      <c r="B675" s="18"/>
      <c r="D675" s="19"/>
      <c r="J675" s="20"/>
    </row>
    <row r="676" spans="2:10">
      <c r="B676" s="18"/>
      <c r="D676" s="19"/>
      <c r="J676" s="20"/>
    </row>
    <row r="677" spans="2:10">
      <c r="B677" s="18"/>
      <c r="D677" s="19"/>
      <c r="J677" s="20"/>
    </row>
    <row r="678" spans="2:10">
      <c r="B678" s="18"/>
      <c r="D678" s="19"/>
      <c r="J678" s="20"/>
    </row>
    <row r="679" spans="2:10">
      <c r="B679" s="18"/>
      <c r="D679" s="19"/>
      <c r="J679" s="20"/>
    </row>
    <row r="680" spans="2:10">
      <c r="B680" s="18"/>
      <c r="D680" s="19"/>
      <c r="J680" s="20"/>
    </row>
    <row r="681" spans="2:10">
      <c r="B681" s="18"/>
      <c r="D681" s="19"/>
      <c r="J681" s="20"/>
    </row>
    <row r="682" spans="2:10">
      <c r="B682" s="18"/>
      <c r="D682" s="19"/>
      <c r="J682" s="20"/>
    </row>
    <row r="683" spans="2:10">
      <c r="B683" s="18"/>
      <c r="D683" s="19"/>
      <c r="J683" s="20"/>
    </row>
    <row r="684" spans="2:10">
      <c r="B684" s="18"/>
      <c r="D684" s="19"/>
      <c r="J684" s="20"/>
    </row>
    <row r="685" spans="2:10">
      <c r="B685" s="18"/>
      <c r="D685" s="19"/>
      <c r="J685" s="20"/>
    </row>
    <row r="686" spans="2:10">
      <c r="B686" s="18"/>
      <c r="D686" s="19"/>
      <c r="J686" s="20"/>
    </row>
    <row r="687" spans="2:10">
      <c r="B687" s="18"/>
      <c r="D687" s="19"/>
      <c r="J687" s="20"/>
    </row>
    <row r="688" spans="2:10">
      <c r="B688" s="18"/>
      <c r="D688" s="19"/>
      <c r="J688" s="20"/>
    </row>
    <row r="689" spans="2:10">
      <c r="B689" s="18"/>
      <c r="D689" s="19"/>
      <c r="J689" s="20"/>
    </row>
    <row r="690" spans="2:10">
      <c r="B690" s="18"/>
      <c r="D690" s="19"/>
      <c r="J690" s="20"/>
    </row>
    <row r="691" spans="2:10">
      <c r="B691" s="18"/>
      <c r="D691" s="19"/>
      <c r="J691" s="20"/>
    </row>
    <row r="692" spans="2:10">
      <c r="B692" s="18"/>
      <c r="D692" s="19"/>
      <c r="J692" s="20"/>
    </row>
    <row r="693" spans="2:10">
      <c r="B693" s="18"/>
      <c r="D693" s="19"/>
      <c r="J693" s="20"/>
    </row>
    <row r="694" spans="2:10">
      <c r="B694" s="18"/>
      <c r="D694" s="19"/>
      <c r="J694" s="20"/>
    </row>
    <row r="695" spans="2:10">
      <c r="B695" s="18"/>
      <c r="D695" s="19"/>
      <c r="J695" s="20"/>
    </row>
    <row r="696" spans="2:10">
      <c r="B696" s="18"/>
      <c r="D696" s="19"/>
      <c r="J696" s="20"/>
    </row>
    <row r="697" spans="2:10">
      <c r="B697" s="18"/>
      <c r="D697" s="19"/>
      <c r="J697" s="20"/>
    </row>
    <row r="698" spans="2:10">
      <c r="B698" s="18"/>
      <c r="D698" s="19"/>
      <c r="J698" s="20"/>
    </row>
    <row r="699" spans="2:10">
      <c r="B699" s="18"/>
      <c r="D699" s="19"/>
      <c r="J699" s="20"/>
    </row>
    <row r="700" spans="2:10">
      <c r="B700" s="18"/>
      <c r="D700" s="19"/>
      <c r="J700" s="20"/>
    </row>
    <row r="701" spans="2:10">
      <c r="B701" s="18"/>
      <c r="D701" s="19"/>
      <c r="J701" s="20"/>
    </row>
    <row r="702" spans="2:10">
      <c r="B702" s="18"/>
      <c r="D702" s="19"/>
      <c r="J702" s="20"/>
    </row>
    <row r="703" spans="2:10">
      <c r="B703" s="18"/>
      <c r="D703" s="19"/>
      <c r="J703" s="20"/>
    </row>
    <row r="704" spans="2:10">
      <c r="B704" s="18"/>
      <c r="D704" s="19"/>
      <c r="J704" s="20"/>
    </row>
    <row r="705" spans="2:10">
      <c r="B705" s="18"/>
      <c r="D705" s="19"/>
      <c r="J705" s="20"/>
    </row>
    <row r="706" spans="2:10">
      <c r="B706" s="18"/>
      <c r="D706" s="19"/>
      <c r="J706" s="20"/>
    </row>
    <row r="707" spans="2:10">
      <c r="B707" s="18"/>
      <c r="D707" s="19"/>
      <c r="J707" s="20"/>
    </row>
    <row r="708" spans="2:10">
      <c r="B708" s="18"/>
      <c r="D708" s="19"/>
      <c r="J708" s="20"/>
    </row>
    <row r="709" spans="2:10">
      <c r="B709" s="18"/>
      <c r="D709" s="19"/>
      <c r="J709" s="20"/>
    </row>
    <row r="710" spans="2:10">
      <c r="B710" s="18"/>
      <c r="D710" s="19"/>
      <c r="J710" s="20"/>
    </row>
    <row r="711" spans="2:10">
      <c r="B711" s="18"/>
      <c r="D711" s="19"/>
      <c r="J711" s="20"/>
    </row>
    <row r="712" spans="2:10">
      <c r="B712" s="18"/>
      <c r="D712" s="19"/>
      <c r="J712" s="20"/>
    </row>
    <row r="713" spans="2:10">
      <c r="B713" s="18"/>
      <c r="D713" s="19"/>
      <c r="J713" s="20"/>
    </row>
    <row r="714" spans="2:10">
      <c r="B714" s="18"/>
      <c r="D714" s="19"/>
      <c r="J714" s="20"/>
    </row>
    <row r="715" spans="2:10">
      <c r="B715" s="18"/>
      <c r="D715" s="19"/>
      <c r="J715" s="20"/>
    </row>
    <row r="716" spans="2:10">
      <c r="B716" s="18"/>
      <c r="D716" s="19"/>
      <c r="J716" s="20"/>
    </row>
    <row r="717" spans="2:10">
      <c r="B717" s="18"/>
      <c r="D717" s="19"/>
      <c r="J717" s="20"/>
    </row>
    <row r="718" spans="2:10">
      <c r="B718" s="18"/>
      <c r="D718" s="19"/>
      <c r="J718" s="20"/>
    </row>
    <row r="719" spans="2:10">
      <c r="B719" s="18"/>
      <c r="D719" s="19"/>
      <c r="J719" s="20"/>
    </row>
    <row r="720" spans="2:10">
      <c r="B720" s="18"/>
      <c r="D720" s="19"/>
      <c r="J720" s="20"/>
    </row>
    <row r="721" spans="2:10">
      <c r="B721" s="18"/>
      <c r="D721" s="19"/>
      <c r="J721" s="20"/>
    </row>
    <row r="722" spans="2:10">
      <c r="B722" s="18"/>
      <c r="D722" s="19"/>
      <c r="J722" s="20"/>
    </row>
    <row r="723" spans="2:10">
      <c r="B723" s="18"/>
      <c r="D723" s="19"/>
      <c r="J723" s="20"/>
    </row>
    <row r="724" spans="2:10">
      <c r="B724" s="18"/>
      <c r="D724" s="19"/>
      <c r="J724" s="20"/>
    </row>
    <row r="725" spans="2:10">
      <c r="B725" s="18"/>
      <c r="D725" s="19"/>
      <c r="J725" s="20"/>
    </row>
    <row r="726" spans="2:10">
      <c r="B726" s="18"/>
      <c r="D726" s="19"/>
      <c r="J726" s="20"/>
    </row>
    <row r="727" spans="2:10">
      <c r="B727" s="18"/>
      <c r="D727" s="19"/>
      <c r="J727" s="20"/>
    </row>
    <row r="728" spans="2:10">
      <c r="B728" s="18"/>
      <c r="D728" s="19"/>
      <c r="J728" s="20"/>
    </row>
    <row r="729" spans="2:10">
      <c r="B729" s="18"/>
      <c r="D729" s="19"/>
      <c r="J729" s="20"/>
    </row>
    <row r="730" spans="2:10">
      <c r="B730" s="18"/>
      <c r="D730" s="19"/>
      <c r="J730" s="20"/>
    </row>
    <row r="731" spans="2:10">
      <c r="B731" s="18"/>
      <c r="D731" s="19"/>
      <c r="J731" s="20"/>
    </row>
    <row r="732" spans="2:10">
      <c r="B732" s="18"/>
      <c r="D732" s="19"/>
      <c r="J732" s="20"/>
    </row>
    <row r="733" spans="2:10">
      <c r="B733" s="18"/>
      <c r="D733" s="19"/>
      <c r="J733" s="20"/>
    </row>
    <row r="734" spans="2:10">
      <c r="B734" s="18"/>
      <c r="D734" s="19"/>
      <c r="J734" s="20"/>
    </row>
    <row r="735" spans="2:10">
      <c r="B735" s="18"/>
      <c r="D735" s="19"/>
      <c r="J735" s="20"/>
    </row>
    <row r="736" spans="2:10">
      <c r="B736" s="18"/>
      <c r="D736" s="19"/>
      <c r="J736" s="20"/>
    </row>
    <row r="737" spans="2:10">
      <c r="B737" s="18"/>
      <c r="D737" s="19"/>
      <c r="J737" s="20"/>
    </row>
    <row r="738" spans="2:10">
      <c r="B738" s="18"/>
      <c r="D738" s="19"/>
      <c r="J738" s="20"/>
    </row>
    <row r="739" spans="2:10">
      <c r="B739" s="18"/>
      <c r="D739" s="19"/>
      <c r="J739" s="20"/>
    </row>
    <row r="740" spans="2:10">
      <c r="B740" s="18"/>
      <c r="D740" s="19"/>
      <c r="J740" s="20"/>
    </row>
    <row r="741" spans="2:10">
      <c r="B741" s="18"/>
      <c r="D741" s="19"/>
      <c r="J741" s="20"/>
    </row>
    <row r="742" spans="2:10">
      <c r="B742" s="18"/>
      <c r="D742" s="19"/>
      <c r="J742" s="20"/>
    </row>
    <row r="743" spans="2:10">
      <c r="B743" s="18"/>
      <c r="D743" s="19"/>
      <c r="J743" s="20"/>
    </row>
    <row r="744" spans="2:10">
      <c r="B744" s="18"/>
      <c r="D744" s="19"/>
      <c r="J744" s="20"/>
    </row>
    <row r="745" spans="2:10">
      <c r="B745" s="18"/>
      <c r="D745" s="19"/>
      <c r="J745" s="20"/>
    </row>
    <row r="746" spans="2:10">
      <c r="B746" s="18"/>
      <c r="D746" s="19"/>
      <c r="J746" s="20"/>
    </row>
    <row r="747" spans="2:10">
      <c r="B747" s="18"/>
      <c r="D747" s="19"/>
      <c r="J747" s="20"/>
    </row>
    <row r="748" spans="2:10">
      <c r="B748" s="18"/>
      <c r="D748" s="19"/>
      <c r="J748" s="20"/>
    </row>
    <row r="749" spans="2:10">
      <c r="B749" s="18"/>
      <c r="D749" s="19"/>
      <c r="J749" s="20"/>
    </row>
    <row r="750" spans="2:10">
      <c r="B750" s="18"/>
      <c r="D750" s="19"/>
      <c r="J750" s="20"/>
    </row>
    <row r="751" spans="2:10">
      <c r="B751" s="18"/>
      <c r="D751" s="19"/>
      <c r="J751" s="20"/>
    </row>
    <row r="752" spans="2:10">
      <c r="B752" s="18"/>
      <c r="D752" s="19"/>
      <c r="J752" s="20"/>
    </row>
    <row r="753" spans="2:10">
      <c r="B753" s="18"/>
      <c r="D753" s="19"/>
      <c r="J753" s="20"/>
    </row>
    <row r="754" spans="2:10">
      <c r="B754" s="18"/>
      <c r="D754" s="19"/>
      <c r="J754" s="20"/>
    </row>
    <row r="755" spans="2:10">
      <c r="B755" s="18"/>
      <c r="D755" s="19"/>
      <c r="J755" s="20"/>
    </row>
    <row r="756" spans="2:10">
      <c r="B756" s="18"/>
      <c r="D756" s="19"/>
      <c r="J756" s="20"/>
    </row>
    <row r="757" spans="2:10">
      <c r="B757" s="18"/>
      <c r="D757" s="19"/>
      <c r="J757" s="20"/>
    </row>
    <row r="758" spans="2:10">
      <c r="B758" s="18"/>
      <c r="D758" s="19"/>
      <c r="J758" s="20"/>
    </row>
    <row r="759" spans="2:10">
      <c r="B759" s="18"/>
      <c r="D759" s="19"/>
      <c r="J759" s="20"/>
    </row>
    <row r="760" spans="2:10">
      <c r="B760" s="18"/>
      <c r="D760" s="19"/>
      <c r="J760" s="20"/>
    </row>
    <row r="761" spans="2:10">
      <c r="B761" s="18"/>
      <c r="D761" s="19"/>
      <c r="J761" s="20"/>
    </row>
    <row r="762" spans="2:10">
      <c r="B762" s="18"/>
      <c r="D762" s="19"/>
      <c r="J762" s="20"/>
    </row>
    <row r="763" spans="2:10">
      <c r="B763" s="18"/>
      <c r="D763" s="19"/>
      <c r="J763" s="20"/>
    </row>
    <row r="764" spans="2:10">
      <c r="B764" s="18"/>
      <c r="D764" s="19"/>
      <c r="J764" s="20"/>
    </row>
    <row r="765" spans="2:10">
      <c r="B765" s="18"/>
      <c r="D765" s="19"/>
      <c r="J765" s="20"/>
    </row>
    <row r="766" spans="2:10">
      <c r="B766" s="18"/>
      <c r="D766" s="19"/>
      <c r="J766" s="20"/>
    </row>
    <row r="767" spans="2:10">
      <c r="B767" s="18"/>
      <c r="D767" s="19"/>
      <c r="J767" s="20"/>
    </row>
    <row r="768" spans="2:10">
      <c r="B768" s="18"/>
      <c r="D768" s="19"/>
      <c r="J768" s="20"/>
    </row>
    <row r="769" spans="2:10">
      <c r="B769" s="18"/>
      <c r="D769" s="19"/>
      <c r="J769" s="20"/>
    </row>
    <row r="770" spans="2:10">
      <c r="B770" s="18"/>
      <c r="D770" s="19"/>
      <c r="J770" s="20"/>
    </row>
    <row r="771" spans="2:10">
      <c r="B771" s="18"/>
      <c r="D771" s="19"/>
      <c r="J771" s="20"/>
    </row>
    <row r="772" spans="2:10">
      <c r="B772" s="18"/>
      <c r="D772" s="19"/>
      <c r="J772" s="20"/>
    </row>
    <row r="773" spans="2:10">
      <c r="B773" s="18"/>
      <c r="D773" s="19"/>
      <c r="J773" s="20"/>
    </row>
    <row r="774" spans="2:10">
      <c r="B774" s="18"/>
      <c r="D774" s="19"/>
      <c r="J774" s="20"/>
    </row>
    <row r="775" spans="2:10">
      <c r="B775" s="18"/>
      <c r="D775" s="19"/>
      <c r="J775" s="20"/>
    </row>
    <row r="776" spans="2:10">
      <c r="B776" s="18"/>
      <c r="D776" s="19"/>
      <c r="J776" s="20"/>
    </row>
    <row r="777" spans="2:10">
      <c r="B777" s="18"/>
      <c r="D777" s="19"/>
      <c r="J777" s="20"/>
    </row>
    <row r="778" spans="2:10">
      <c r="B778" s="18"/>
      <c r="D778" s="19"/>
      <c r="J778" s="20"/>
    </row>
    <row r="779" spans="2:10">
      <c r="B779" s="18"/>
      <c r="D779" s="19"/>
      <c r="J779" s="20"/>
    </row>
    <row r="780" spans="2:10">
      <c r="B780" s="18"/>
      <c r="D780" s="19"/>
      <c r="J780" s="20"/>
    </row>
    <row r="781" spans="2:10">
      <c r="B781" s="18"/>
      <c r="D781" s="19"/>
      <c r="J781" s="20"/>
    </row>
    <row r="782" spans="2:10">
      <c r="B782" s="18"/>
      <c r="D782" s="19"/>
      <c r="J782" s="20"/>
    </row>
    <row r="783" spans="2:10">
      <c r="B783" s="18"/>
      <c r="D783" s="19"/>
      <c r="J783" s="20"/>
    </row>
    <row r="784" spans="2:10">
      <c r="B784" s="18"/>
      <c r="D784" s="19"/>
      <c r="J784" s="20"/>
    </row>
    <row r="785" spans="2:10">
      <c r="B785" s="18"/>
      <c r="D785" s="19"/>
      <c r="J785" s="20"/>
    </row>
    <row r="786" spans="2:10">
      <c r="B786" s="18"/>
      <c r="D786" s="19"/>
      <c r="J786" s="20"/>
    </row>
    <row r="787" spans="2:10">
      <c r="B787" s="18"/>
      <c r="D787" s="19"/>
      <c r="J787" s="20"/>
    </row>
    <row r="788" spans="2:10">
      <c r="B788" s="18"/>
      <c r="D788" s="19"/>
      <c r="J788" s="20"/>
    </row>
    <row r="789" spans="2:10">
      <c r="B789" s="18"/>
      <c r="D789" s="19"/>
      <c r="J789" s="20"/>
    </row>
    <row r="790" spans="2:10">
      <c r="B790" s="18"/>
      <c r="D790" s="19"/>
      <c r="J790" s="20"/>
    </row>
    <row r="791" spans="2:10">
      <c r="B791" s="18"/>
      <c r="D791" s="19"/>
      <c r="J791" s="20"/>
    </row>
    <row r="792" spans="2:10">
      <c r="B792" s="18"/>
      <c r="D792" s="19"/>
      <c r="J792" s="20"/>
    </row>
    <row r="793" spans="2:10">
      <c r="B793" s="18"/>
      <c r="D793" s="19"/>
      <c r="J793" s="20"/>
    </row>
    <row r="794" spans="2:10">
      <c r="B794" s="18"/>
      <c r="D794" s="19"/>
      <c r="J794" s="20"/>
    </row>
    <row r="795" spans="2:10">
      <c r="B795" s="18"/>
      <c r="D795" s="19"/>
      <c r="J795" s="20"/>
    </row>
    <row r="796" spans="2:10">
      <c r="B796" s="18"/>
      <c r="D796" s="19"/>
      <c r="J796" s="20"/>
    </row>
    <row r="797" spans="2:10">
      <c r="B797" s="18"/>
      <c r="D797" s="19"/>
      <c r="J797" s="20"/>
    </row>
    <row r="798" spans="2:10">
      <c r="B798" s="18"/>
      <c r="D798" s="19"/>
      <c r="J798" s="20"/>
    </row>
    <row r="799" spans="2:10">
      <c r="B799" s="18"/>
      <c r="D799" s="19"/>
      <c r="J799" s="20"/>
    </row>
    <row r="800" spans="2:10">
      <c r="B800" s="18"/>
      <c r="D800" s="19"/>
      <c r="J800" s="20"/>
    </row>
    <row r="801" spans="2:10">
      <c r="B801" s="18"/>
      <c r="D801" s="19"/>
      <c r="J801" s="20"/>
    </row>
    <row r="802" spans="2:10">
      <c r="B802" s="18"/>
      <c r="D802" s="19"/>
      <c r="J802" s="20"/>
    </row>
    <row r="803" spans="2:10">
      <c r="B803" s="18"/>
      <c r="D803" s="19"/>
      <c r="J803" s="20"/>
    </row>
    <row r="804" spans="2:10">
      <c r="B804" s="18"/>
      <c r="D804" s="19"/>
      <c r="J804" s="20"/>
    </row>
    <row r="805" spans="2:10">
      <c r="B805" s="18"/>
      <c r="D805" s="19"/>
      <c r="J805" s="20"/>
    </row>
    <row r="806" spans="2:10">
      <c r="B806" s="18"/>
      <c r="D806" s="19"/>
      <c r="J806" s="20"/>
    </row>
    <row r="807" spans="2:10">
      <c r="B807" s="18"/>
      <c r="D807" s="19"/>
      <c r="J807" s="20"/>
    </row>
    <row r="808" spans="2:10">
      <c r="B808" s="18"/>
      <c r="D808" s="19"/>
      <c r="J808" s="20"/>
    </row>
    <row r="809" spans="2:10">
      <c r="B809" s="18"/>
      <c r="D809" s="19"/>
      <c r="J809" s="20"/>
    </row>
    <row r="810" spans="2:10">
      <c r="B810" s="18"/>
      <c r="D810" s="19"/>
      <c r="J810" s="20"/>
    </row>
    <row r="811" spans="2:10">
      <c r="B811" s="18"/>
      <c r="D811" s="19"/>
      <c r="J811" s="20"/>
    </row>
    <row r="812" spans="2:10">
      <c r="B812" s="18"/>
      <c r="D812" s="19"/>
      <c r="J812" s="20"/>
    </row>
    <row r="813" spans="2:10">
      <c r="B813" s="18"/>
      <c r="D813" s="19"/>
      <c r="J813" s="20"/>
    </row>
    <row r="814" spans="2:10">
      <c r="B814" s="18"/>
      <c r="D814" s="19"/>
      <c r="J814" s="20"/>
    </row>
    <row r="815" spans="2:10">
      <c r="B815" s="18"/>
      <c r="D815" s="19"/>
      <c r="J815" s="20"/>
    </row>
    <row r="816" spans="2:10">
      <c r="B816" s="18"/>
      <c r="D816" s="19"/>
      <c r="J816" s="20"/>
    </row>
    <row r="817" spans="2:10">
      <c r="B817" s="18"/>
      <c r="D817" s="19"/>
      <c r="J817" s="20"/>
    </row>
    <row r="818" spans="2:10">
      <c r="B818" s="18"/>
      <c r="D818" s="19"/>
      <c r="J818" s="20"/>
    </row>
    <row r="819" spans="2:10">
      <c r="B819" s="18"/>
      <c r="D819" s="19"/>
      <c r="J819" s="20"/>
    </row>
    <row r="820" spans="2:10">
      <c r="B820" s="18"/>
      <c r="D820" s="19"/>
      <c r="J820" s="20"/>
    </row>
    <row r="821" spans="2:10">
      <c r="B821" s="18"/>
      <c r="D821" s="19"/>
      <c r="J821" s="20"/>
    </row>
    <row r="822" spans="2:10">
      <c r="B822" s="18"/>
      <c r="D822" s="19"/>
      <c r="J822" s="20"/>
    </row>
    <row r="823" spans="2:10">
      <c r="B823" s="18"/>
      <c r="D823" s="19"/>
      <c r="J823" s="20"/>
    </row>
    <row r="824" spans="2:10">
      <c r="B824" s="18"/>
      <c r="D824" s="19"/>
      <c r="J824" s="20"/>
    </row>
    <row r="825" spans="2:10">
      <c r="B825" s="18"/>
      <c r="D825" s="19"/>
      <c r="J825" s="20"/>
    </row>
    <row r="826" spans="2:10">
      <c r="B826" s="18"/>
      <c r="D826" s="19"/>
      <c r="J826" s="20"/>
    </row>
    <row r="827" spans="2:10">
      <c r="B827" s="18"/>
      <c r="D827" s="19"/>
      <c r="J827" s="20"/>
    </row>
    <row r="828" spans="2:10">
      <c r="B828" s="18"/>
      <c r="D828" s="19"/>
      <c r="J828" s="20"/>
    </row>
    <row r="829" spans="2:10">
      <c r="B829" s="18"/>
      <c r="D829" s="19"/>
      <c r="J829" s="20"/>
    </row>
    <row r="830" spans="2:10">
      <c r="B830" s="18"/>
      <c r="D830" s="19"/>
      <c r="J830" s="20"/>
    </row>
    <row r="831" spans="2:10">
      <c r="B831" s="18"/>
      <c r="D831" s="19"/>
      <c r="J831" s="20"/>
    </row>
    <row r="832" spans="2:10">
      <c r="B832" s="18"/>
      <c r="D832" s="19"/>
      <c r="J832" s="20"/>
    </row>
    <row r="833" spans="2:10">
      <c r="B833" s="18"/>
      <c r="D833" s="19"/>
      <c r="J833" s="20"/>
    </row>
    <row r="834" spans="2:10">
      <c r="B834" s="18"/>
      <c r="D834" s="19"/>
      <c r="J834" s="20"/>
    </row>
    <row r="835" spans="2:10">
      <c r="B835" s="18"/>
      <c r="D835" s="19"/>
      <c r="J835" s="20"/>
    </row>
    <row r="836" spans="2:10">
      <c r="B836" s="18"/>
      <c r="D836" s="19"/>
      <c r="J836" s="20"/>
    </row>
    <row r="837" spans="2:10">
      <c r="B837" s="18"/>
      <c r="D837" s="19"/>
      <c r="J837" s="20"/>
    </row>
    <row r="838" spans="2:10">
      <c r="B838" s="18"/>
      <c r="D838" s="19"/>
      <c r="J838" s="20"/>
    </row>
    <row r="839" spans="2:10">
      <c r="B839" s="18"/>
      <c r="D839" s="19"/>
      <c r="J839" s="20"/>
    </row>
    <row r="840" spans="2:10">
      <c r="B840" s="18"/>
      <c r="D840" s="19"/>
      <c r="J840" s="20"/>
    </row>
    <row r="841" spans="2:10">
      <c r="B841" s="18"/>
      <c r="D841" s="19"/>
      <c r="J841" s="20"/>
    </row>
    <row r="842" spans="2:10">
      <c r="B842" s="18"/>
      <c r="D842" s="19"/>
      <c r="J842" s="20"/>
    </row>
    <row r="843" spans="2:10">
      <c r="B843" s="18"/>
      <c r="D843" s="19"/>
      <c r="J843" s="20"/>
    </row>
    <row r="844" spans="2:10">
      <c r="B844" s="18"/>
      <c r="D844" s="19"/>
      <c r="J844" s="20"/>
    </row>
    <row r="845" spans="2:10">
      <c r="B845" s="18"/>
      <c r="D845" s="19"/>
      <c r="J845" s="20"/>
    </row>
    <row r="846" spans="2:10">
      <c r="B846" s="18"/>
      <c r="D846" s="19"/>
      <c r="J846" s="20"/>
    </row>
    <row r="847" spans="2:10">
      <c r="B847" s="18"/>
      <c r="D847" s="19"/>
      <c r="J847" s="20"/>
    </row>
    <row r="848" spans="2:10">
      <c r="B848" s="18"/>
      <c r="D848" s="19"/>
      <c r="J848" s="20"/>
    </row>
    <row r="849" spans="2:10">
      <c r="B849" s="18"/>
      <c r="D849" s="19"/>
      <c r="J849" s="20"/>
    </row>
    <row r="850" spans="2:10">
      <c r="B850" s="18"/>
      <c r="D850" s="19"/>
      <c r="J850" s="20"/>
    </row>
    <row r="851" spans="2:10">
      <c r="B851" s="18"/>
      <c r="D851" s="19"/>
      <c r="J851" s="20"/>
    </row>
    <row r="852" spans="2:10">
      <c r="B852" s="18"/>
      <c r="D852" s="19"/>
      <c r="J852" s="20"/>
    </row>
    <row r="853" spans="2:10">
      <c r="B853" s="18"/>
      <c r="D853" s="19"/>
      <c r="J853" s="20"/>
    </row>
    <row r="854" spans="2:10">
      <c r="B854" s="18"/>
      <c r="D854" s="19"/>
      <c r="J854" s="20"/>
    </row>
    <row r="855" spans="2:10">
      <c r="B855" s="18"/>
      <c r="D855" s="19"/>
      <c r="J855" s="20"/>
    </row>
    <row r="856" spans="2:10">
      <c r="B856" s="18"/>
      <c r="D856" s="19"/>
      <c r="J856" s="20"/>
    </row>
    <row r="857" spans="2:10">
      <c r="B857" s="18"/>
      <c r="D857" s="19"/>
      <c r="J857" s="20"/>
    </row>
    <row r="858" spans="2:10">
      <c r="B858" s="18"/>
      <c r="D858" s="19"/>
      <c r="J858" s="20"/>
    </row>
    <row r="859" spans="2:10">
      <c r="B859" s="18"/>
      <c r="D859" s="19"/>
      <c r="J859" s="20"/>
    </row>
    <row r="860" spans="2:10">
      <c r="B860" s="18"/>
      <c r="D860" s="19"/>
      <c r="J860" s="20"/>
    </row>
    <row r="861" spans="2:10">
      <c r="B861" s="18"/>
      <c r="D861" s="19"/>
      <c r="J861" s="20"/>
    </row>
    <row r="862" spans="2:10">
      <c r="B862" s="18"/>
      <c r="D862" s="19"/>
      <c r="J862" s="20"/>
    </row>
    <row r="863" spans="2:10">
      <c r="B863" s="18"/>
      <c r="D863" s="19"/>
      <c r="J863" s="20"/>
    </row>
    <row r="864" spans="2:10">
      <c r="B864" s="18"/>
      <c r="D864" s="19"/>
      <c r="J864" s="20"/>
    </row>
    <row r="865" spans="2:10">
      <c r="B865" s="18"/>
      <c r="D865" s="19"/>
      <c r="J865" s="20"/>
    </row>
    <row r="866" spans="2:10">
      <c r="B866" s="18"/>
      <c r="D866" s="19"/>
      <c r="J866" s="20"/>
    </row>
    <row r="867" spans="2:10">
      <c r="B867" s="18"/>
      <c r="D867" s="19"/>
      <c r="J867" s="20"/>
    </row>
    <row r="868" spans="2:10">
      <c r="B868" s="18"/>
      <c r="D868" s="19"/>
      <c r="J868" s="20"/>
    </row>
    <row r="869" spans="2:10">
      <c r="B869" s="18"/>
      <c r="D869" s="19"/>
      <c r="J869" s="20"/>
    </row>
    <row r="870" spans="2:10">
      <c r="B870" s="18"/>
      <c r="D870" s="19"/>
      <c r="J870" s="20"/>
    </row>
    <row r="871" spans="2:10">
      <c r="B871" s="18"/>
      <c r="D871" s="19"/>
      <c r="J871" s="20"/>
    </row>
    <row r="872" spans="2:10">
      <c r="B872" s="18"/>
      <c r="D872" s="19"/>
      <c r="J872" s="20"/>
    </row>
    <row r="873" spans="2:10">
      <c r="B873" s="18"/>
      <c r="D873" s="19"/>
      <c r="J873" s="20"/>
    </row>
    <row r="874" spans="2:10">
      <c r="B874" s="18"/>
      <c r="D874" s="19"/>
      <c r="J874" s="20"/>
    </row>
    <row r="875" spans="2:10">
      <c r="B875" s="18"/>
      <c r="D875" s="19"/>
      <c r="J875" s="20"/>
    </row>
    <row r="876" spans="2:10">
      <c r="B876" s="18"/>
      <c r="D876" s="19"/>
      <c r="J876" s="20"/>
    </row>
    <row r="877" spans="2:10">
      <c r="B877" s="18"/>
      <c r="D877" s="19"/>
      <c r="J877" s="20"/>
    </row>
    <row r="878" spans="2:10">
      <c r="B878" s="18"/>
      <c r="D878" s="19"/>
      <c r="J878" s="20"/>
    </row>
    <row r="879" spans="2:10">
      <c r="B879" s="18"/>
      <c r="D879" s="19"/>
      <c r="J879" s="20"/>
    </row>
    <row r="880" spans="2:10">
      <c r="B880" s="18"/>
      <c r="D880" s="19"/>
      <c r="J880" s="20"/>
    </row>
    <row r="881" spans="2:10">
      <c r="B881" s="18"/>
      <c r="D881" s="19"/>
      <c r="J881" s="20"/>
    </row>
    <row r="882" spans="2:10">
      <c r="B882" s="18"/>
      <c r="D882" s="19"/>
      <c r="J882" s="20"/>
    </row>
    <row r="883" spans="2:10">
      <c r="B883" s="18"/>
      <c r="D883" s="19"/>
      <c r="J883" s="20"/>
    </row>
    <row r="884" spans="2:10">
      <c r="B884" s="18"/>
      <c r="D884" s="19"/>
      <c r="J884" s="20"/>
    </row>
    <row r="885" spans="2:10">
      <c r="B885" s="18"/>
      <c r="D885" s="19"/>
      <c r="J885" s="20"/>
    </row>
    <row r="886" spans="2:10">
      <c r="B886" s="18"/>
      <c r="D886" s="19"/>
      <c r="J886" s="20"/>
    </row>
    <row r="887" spans="2:10">
      <c r="B887" s="18"/>
      <c r="D887" s="19"/>
      <c r="J887" s="20"/>
    </row>
    <row r="888" spans="2:10">
      <c r="B888" s="18"/>
      <c r="D888" s="19"/>
      <c r="J888" s="20"/>
    </row>
    <row r="889" spans="2:10">
      <c r="B889" s="18"/>
      <c r="D889" s="19"/>
      <c r="J889" s="20"/>
    </row>
    <row r="890" spans="2:10">
      <c r="B890" s="18"/>
      <c r="D890" s="19"/>
      <c r="J890" s="20"/>
    </row>
    <row r="891" spans="2:10">
      <c r="B891" s="18"/>
      <c r="D891" s="19"/>
      <c r="J891" s="20"/>
    </row>
    <row r="892" spans="2:10">
      <c r="B892" s="18"/>
      <c r="D892" s="19"/>
      <c r="J892" s="20"/>
    </row>
    <row r="893" spans="2:10">
      <c r="B893" s="18"/>
      <c r="D893" s="19"/>
      <c r="J893" s="20"/>
    </row>
    <row r="894" spans="2:10">
      <c r="B894" s="18"/>
      <c r="D894" s="19"/>
      <c r="J894" s="20"/>
    </row>
    <row r="895" spans="2:10">
      <c r="B895" s="18"/>
      <c r="D895" s="19"/>
      <c r="J895" s="20"/>
    </row>
    <row r="896" spans="2:10">
      <c r="B896" s="18"/>
      <c r="D896" s="19"/>
      <c r="J896" s="20"/>
    </row>
    <row r="897" spans="2:10">
      <c r="B897" s="18"/>
      <c r="D897" s="19"/>
      <c r="J897" s="20"/>
    </row>
    <row r="898" spans="2:10">
      <c r="B898" s="18"/>
      <c r="D898" s="19"/>
      <c r="J898" s="20"/>
    </row>
    <row r="899" spans="2:10">
      <c r="B899" s="18"/>
      <c r="D899" s="19"/>
      <c r="J899" s="20"/>
    </row>
    <row r="900" spans="2:10">
      <c r="B900" s="18"/>
      <c r="D900" s="19"/>
      <c r="J900" s="20"/>
    </row>
    <row r="901" spans="2:10">
      <c r="B901" s="18"/>
      <c r="D901" s="19"/>
      <c r="J901" s="20"/>
    </row>
    <row r="902" spans="2:10">
      <c r="B902" s="18"/>
      <c r="D902" s="19"/>
      <c r="J902" s="20"/>
    </row>
    <row r="903" spans="2:10">
      <c r="B903" s="18"/>
      <c r="D903" s="19"/>
      <c r="J903" s="20"/>
    </row>
    <row r="904" spans="2:10">
      <c r="B904" s="18"/>
      <c r="D904" s="19"/>
      <c r="J904" s="20"/>
    </row>
    <row r="905" spans="2:10">
      <c r="B905" s="18"/>
      <c r="D905" s="19"/>
      <c r="J905" s="20"/>
    </row>
    <row r="906" spans="2:10">
      <c r="B906" s="18"/>
      <c r="D906" s="19"/>
      <c r="J906" s="20"/>
    </row>
    <row r="907" spans="2:10">
      <c r="B907" s="18"/>
      <c r="D907" s="19"/>
      <c r="J907" s="20"/>
    </row>
    <row r="908" spans="2:10">
      <c r="B908" s="18"/>
      <c r="D908" s="19"/>
      <c r="J908" s="20"/>
    </row>
    <row r="909" spans="2:10">
      <c r="B909" s="18"/>
      <c r="D909" s="19"/>
      <c r="J909" s="20"/>
    </row>
    <row r="910" spans="2:10">
      <c r="B910" s="18"/>
      <c r="D910" s="19"/>
      <c r="J910" s="20"/>
    </row>
    <row r="911" spans="2:10">
      <c r="B911" s="18"/>
      <c r="D911" s="19"/>
      <c r="J911" s="20"/>
    </row>
    <row r="912" spans="2:10">
      <c r="B912" s="18"/>
      <c r="D912" s="19"/>
      <c r="J912" s="20"/>
    </row>
    <row r="913" spans="2:10">
      <c r="B913" s="18"/>
      <c r="D913" s="19"/>
      <c r="J913" s="20"/>
    </row>
    <row r="914" spans="2:10">
      <c r="B914" s="18"/>
      <c r="D914" s="19"/>
      <c r="J914" s="20"/>
    </row>
    <row r="915" spans="2:10">
      <c r="B915" s="18"/>
      <c r="D915" s="19"/>
      <c r="J915" s="20"/>
    </row>
    <row r="916" spans="2:10">
      <c r="B916" s="18"/>
      <c r="D916" s="19"/>
      <c r="J916" s="20"/>
    </row>
    <row r="917" spans="2:10">
      <c r="B917" s="18"/>
      <c r="D917" s="19"/>
      <c r="J917" s="20"/>
    </row>
    <row r="918" spans="2:10">
      <c r="B918" s="18"/>
      <c r="D918" s="19"/>
      <c r="J918" s="20"/>
    </row>
    <row r="919" spans="2:10">
      <c r="B919" s="18"/>
      <c r="D919" s="19"/>
      <c r="J919" s="20"/>
    </row>
    <row r="920" spans="2:10">
      <c r="B920" s="18"/>
      <c r="D920" s="19"/>
      <c r="J920" s="20"/>
    </row>
    <row r="921" spans="2:10">
      <c r="B921" s="18"/>
      <c r="D921" s="19"/>
      <c r="J921" s="20"/>
    </row>
    <row r="922" spans="2:10">
      <c r="B922" s="18"/>
      <c r="D922" s="19"/>
      <c r="J922" s="20"/>
    </row>
    <row r="923" spans="2:10">
      <c r="B923" s="18"/>
      <c r="D923" s="19"/>
      <c r="J923" s="20"/>
    </row>
    <row r="924" spans="2:10">
      <c r="B924" s="18"/>
      <c r="D924" s="19"/>
      <c r="J924" s="20"/>
    </row>
    <row r="925" spans="2:10">
      <c r="B925" s="18"/>
      <c r="D925" s="19"/>
      <c r="J925" s="20"/>
    </row>
    <row r="926" spans="2:10">
      <c r="B926" s="18"/>
      <c r="D926" s="19"/>
      <c r="J926" s="20"/>
    </row>
    <row r="927" spans="2:10">
      <c r="B927" s="18"/>
      <c r="D927" s="19"/>
      <c r="J927" s="20"/>
    </row>
    <row r="928" spans="2:10">
      <c r="B928" s="18"/>
      <c r="D928" s="19"/>
      <c r="J928" s="20"/>
    </row>
    <row r="929" spans="2:10">
      <c r="B929" s="18"/>
      <c r="D929" s="19"/>
      <c r="J929" s="20"/>
    </row>
    <row r="930" spans="2:10">
      <c r="B930" s="18"/>
      <c r="D930" s="19"/>
      <c r="J930" s="20"/>
    </row>
    <row r="931" spans="2:10">
      <c r="B931" s="18"/>
      <c r="D931" s="19"/>
      <c r="J931" s="20"/>
    </row>
    <row r="932" spans="2:10">
      <c r="B932" s="18"/>
      <c r="D932" s="19"/>
      <c r="J932" s="20"/>
    </row>
    <row r="933" spans="2:10">
      <c r="B933" s="18"/>
      <c r="D933" s="19"/>
      <c r="J933" s="20"/>
    </row>
    <row r="934" spans="2:10">
      <c r="B934" s="18"/>
      <c r="D934" s="19"/>
      <c r="J934" s="20"/>
    </row>
    <row r="935" spans="2:10">
      <c r="B935" s="18"/>
      <c r="D935" s="19"/>
      <c r="J935" s="20"/>
    </row>
    <row r="936" spans="2:10">
      <c r="B936" s="18"/>
      <c r="D936" s="19"/>
      <c r="J936" s="20"/>
    </row>
    <row r="937" spans="2:10">
      <c r="B937" s="18"/>
      <c r="D937" s="19"/>
      <c r="J937" s="20"/>
    </row>
    <row r="938" spans="2:10">
      <c r="B938" s="18"/>
      <c r="D938" s="19"/>
      <c r="J938" s="20"/>
    </row>
    <row r="939" spans="2:10">
      <c r="B939" s="18"/>
      <c r="D939" s="19"/>
      <c r="J939" s="20"/>
    </row>
    <row r="940" spans="2:10">
      <c r="B940" s="18"/>
      <c r="D940" s="19"/>
      <c r="J940" s="20"/>
    </row>
    <row r="941" spans="2:10">
      <c r="B941" s="18"/>
      <c r="D941" s="19"/>
      <c r="J941" s="20"/>
    </row>
    <row r="942" spans="2:10">
      <c r="B942" s="18"/>
      <c r="D942" s="19"/>
      <c r="J942" s="20"/>
    </row>
    <row r="943" spans="2:10">
      <c r="B943" s="18"/>
      <c r="D943" s="19"/>
      <c r="J943" s="20"/>
    </row>
    <row r="944" spans="2:10">
      <c r="B944" s="18"/>
      <c r="D944" s="19"/>
      <c r="J944" s="20"/>
    </row>
    <row r="945" spans="2:10">
      <c r="B945" s="18"/>
      <c r="D945" s="19"/>
      <c r="J945" s="20"/>
    </row>
    <row r="946" spans="2:10">
      <c r="B946" s="18"/>
      <c r="D946" s="19"/>
      <c r="J946" s="20"/>
    </row>
    <row r="947" spans="2:10">
      <c r="B947" s="18"/>
      <c r="D947" s="19"/>
      <c r="J947" s="20"/>
    </row>
    <row r="948" spans="2:10">
      <c r="B948" s="18"/>
      <c r="D948" s="19"/>
      <c r="J948" s="20"/>
    </row>
    <row r="949" spans="2:10">
      <c r="B949" s="18"/>
      <c r="D949" s="19"/>
      <c r="J949" s="20"/>
    </row>
    <row r="950" spans="2:10">
      <c r="B950" s="18"/>
      <c r="D950" s="19"/>
      <c r="J950" s="20"/>
    </row>
    <row r="951" spans="2:10">
      <c r="B951" s="18"/>
      <c r="D951" s="19"/>
      <c r="J951" s="20"/>
    </row>
    <row r="952" spans="2:10">
      <c r="B952" s="18"/>
      <c r="D952" s="19"/>
      <c r="J952" s="20"/>
    </row>
    <row r="953" spans="2:10">
      <c r="B953" s="18"/>
      <c r="D953" s="19"/>
      <c r="J953" s="20"/>
    </row>
    <row r="954" spans="2:10">
      <c r="B954" s="18"/>
      <c r="D954" s="19"/>
      <c r="J954" s="20"/>
    </row>
    <row r="955" spans="2:10">
      <c r="B955" s="18"/>
      <c r="D955" s="19"/>
      <c r="J955" s="20"/>
    </row>
    <row r="956" spans="2:10">
      <c r="B956" s="18"/>
      <c r="D956" s="19"/>
      <c r="J956" s="20"/>
    </row>
    <row r="957" spans="2:10">
      <c r="B957" s="18"/>
      <c r="D957" s="19"/>
      <c r="J957" s="20"/>
    </row>
    <row r="958" spans="2:10">
      <c r="B958" s="18"/>
      <c r="D958" s="19"/>
      <c r="J958" s="20"/>
    </row>
    <row r="959" spans="2:10">
      <c r="B959" s="18"/>
      <c r="D959" s="19"/>
      <c r="J959" s="20"/>
    </row>
    <row r="960" spans="2:10">
      <c r="B960" s="18"/>
      <c r="D960" s="19"/>
      <c r="J960" s="20"/>
    </row>
    <row r="961" spans="2:10">
      <c r="B961" s="18"/>
      <c r="D961" s="19"/>
      <c r="J961" s="20"/>
    </row>
    <row r="962" spans="2:10">
      <c r="B962" s="18"/>
      <c r="D962" s="19"/>
      <c r="J962" s="20"/>
    </row>
    <row r="963" spans="2:10">
      <c r="B963" s="18"/>
      <c r="D963" s="19"/>
      <c r="J963" s="20"/>
    </row>
    <row r="964" spans="2:10">
      <c r="B964" s="18"/>
      <c r="D964" s="19"/>
      <c r="J964" s="20"/>
    </row>
    <row r="965" spans="2:10">
      <c r="B965" s="18"/>
      <c r="D965" s="19"/>
      <c r="J965" s="20"/>
    </row>
    <row r="966" spans="2:10">
      <c r="B966" s="18"/>
      <c r="D966" s="19"/>
      <c r="J966" s="20"/>
    </row>
    <row r="967" spans="2:10">
      <c r="B967" s="18"/>
      <c r="D967" s="19"/>
      <c r="J967" s="20"/>
    </row>
    <row r="968" spans="2:10">
      <c r="B968" s="18"/>
      <c r="D968" s="19"/>
      <c r="J968" s="20"/>
    </row>
    <row r="969" spans="2:10">
      <c r="B969" s="18"/>
      <c r="D969" s="19"/>
      <c r="J969" s="20"/>
    </row>
    <row r="970" spans="2:10">
      <c r="B970" s="18"/>
      <c r="D970" s="19"/>
      <c r="J970" s="20"/>
    </row>
    <row r="971" spans="2:10">
      <c r="B971" s="18"/>
      <c r="D971" s="19"/>
      <c r="J971" s="20"/>
    </row>
    <row r="972" spans="2:10">
      <c r="B972" s="18"/>
      <c r="D972" s="19"/>
      <c r="J972" s="20"/>
    </row>
    <row r="973" spans="2:10">
      <c r="B973" s="18"/>
      <c r="D973" s="19"/>
      <c r="J973" s="20"/>
    </row>
    <row r="974" spans="2:10">
      <c r="B974" s="18"/>
      <c r="D974" s="19"/>
      <c r="J974" s="20"/>
    </row>
    <row r="975" spans="2:10">
      <c r="B975" s="18"/>
      <c r="D975" s="19"/>
      <c r="J975" s="20"/>
    </row>
    <row r="976" spans="2:10">
      <c r="B976" s="18"/>
      <c r="D976" s="19"/>
      <c r="J976" s="20"/>
    </row>
    <row r="977" spans="2:10">
      <c r="B977" s="18"/>
      <c r="D977" s="19"/>
      <c r="J977" s="20"/>
    </row>
    <row r="978" spans="2:10">
      <c r="B978" s="18"/>
      <c r="D978" s="19"/>
      <c r="J978" s="20"/>
    </row>
    <row r="979" spans="2:10">
      <c r="B979" s="18"/>
      <c r="D979" s="19"/>
      <c r="J979" s="20"/>
    </row>
    <row r="980" spans="2:10">
      <c r="B980" s="18"/>
      <c r="D980" s="19"/>
      <c r="J980" s="20"/>
    </row>
    <row r="981" spans="2:10">
      <c r="B981" s="18"/>
      <c r="D981" s="19"/>
      <c r="J981" s="20"/>
    </row>
    <row r="982" spans="2:10">
      <c r="B982" s="18"/>
      <c r="D982" s="19"/>
      <c r="J982" s="20"/>
    </row>
    <row r="983" spans="2:10">
      <c r="B983" s="18"/>
      <c r="D983" s="19"/>
      <c r="J983" s="20"/>
    </row>
    <row r="984" spans="2:10">
      <c r="B984" s="18"/>
      <c r="D984" s="19"/>
      <c r="J984" s="20"/>
    </row>
    <row r="985" spans="2:10">
      <c r="B985" s="18"/>
      <c r="D985" s="19"/>
      <c r="J985" s="20"/>
    </row>
    <row r="986" spans="2:10">
      <c r="B986" s="18"/>
      <c r="D986" s="19"/>
      <c r="J986" s="20"/>
    </row>
    <row r="987" spans="2:10">
      <c r="B987" s="18"/>
      <c r="D987" s="19"/>
      <c r="J987" s="20"/>
    </row>
    <row r="988" spans="2:10">
      <c r="B988" s="18"/>
      <c r="D988" s="19"/>
      <c r="J988" s="20"/>
    </row>
    <row r="989" spans="2:10">
      <c r="B989" s="18"/>
      <c r="D989" s="19"/>
      <c r="J989" s="20"/>
    </row>
    <row r="990" spans="2:10">
      <c r="B990" s="18"/>
      <c r="D990" s="19"/>
      <c r="J990" s="20"/>
    </row>
    <row r="991" spans="2:10">
      <c r="B991" s="18"/>
      <c r="D991" s="19"/>
      <c r="J991" s="20"/>
    </row>
    <row r="992" spans="2:10">
      <c r="B992" s="18"/>
      <c r="D992" s="19"/>
      <c r="J992" s="20"/>
    </row>
    <row r="993" spans="2:10">
      <c r="B993" s="18"/>
      <c r="D993" s="19"/>
      <c r="J993" s="20"/>
    </row>
    <row r="994" spans="2:10">
      <c r="B994" s="18"/>
      <c r="D994" s="19"/>
      <c r="J994" s="20"/>
    </row>
    <row r="995" spans="2:10">
      <c r="B995" s="18"/>
      <c r="D995" s="19"/>
      <c r="J995" s="20"/>
    </row>
    <row r="996" spans="2:10">
      <c r="B996" s="18"/>
      <c r="D996" s="19"/>
      <c r="J996" s="20"/>
    </row>
    <row r="997" spans="2:10">
      <c r="B997" s="18"/>
      <c r="D997" s="19"/>
      <c r="J997" s="20"/>
    </row>
    <row r="998" spans="2:10">
      <c r="B998" s="18"/>
      <c r="D998" s="19"/>
      <c r="J998" s="20"/>
    </row>
    <row r="999" spans="2:10">
      <c r="B999" s="18"/>
      <c r="D999" s="19"/>
      <c r="J999" s="20"/>
    </row>
    <row r="1000" spans="2:10">
      <c r="B1000" s="18"/>
      <c r="D1000" s="19"/>
      <c r="J1000" s="20"/>
    </row>
  </sheetData>
  <autoFilter xmlns:etc="http://www.wps.cn/officeDocument/2017/etCustomData" ref="A1:J1000" etc:filterBottomFollowUsedRange="0">
    <extLst/>
  </autoFilter>
  <conditionalFormatting sqref="C2:C1000">
    <cfRule type="cellIs" dxfId="0" priority="2" operator="equal">
      <formula>"Thu"</formula>
    </cfRule>
    <cfRule type="cellIs" dxfId="1" priority="3" operator="equal">
      <formula>"Chi"</formula>
    </cfRule>
    <cfRule type="cellIs" dxfId="2" priority="4" operator="equal">
      <formula>"Chuyển khoản"</formula>
    </cfRule>
    <cfRule type="cellIs" dxfId="3" priority="5" operator="equal">
      <formula>"Điều chỉnh"</formula>
    </cfRule>
  </conditionalFormatting>
  <dataValidations count="5">
    <dataValidation type="date" operator="greaterThan" allowBlank="1" showErrorMessage="1" errorTitle="Ngày không hợp lệ" error="Nhập ngày dạng dd/mm/yyyy" sqref="B2:B1000">
      <formula1>36526</formula1>
    </dataValidation>
    <dataValidation type="list" allowBlank="1" showErrorMessage="1" errorTitle="Giá trị không hợp lệ" error="Chọn Thu, Chi, Chuyển khoản hoặc Điều chỉnh" sqref="C2:C1000">
      <formula1>DanhMuc!$H$2:$H$5</formula1>
    </dataValidation>
    <dataValidation type="list" allowBlank="1" showErrorMessage="1" errorTitle="Giá trị không hợp lệ" error="Chọn hạng mục cha có trong sheet DanhMuc" sqref="G2:G1000">
      <formula1>DanhMuc!$E$2:$E$20</formula1>
    </dataValidation>
    <dataValidation type="list" allowBlank="1" showErrorMessage="1" errorTitle="Giá trị không hợp lệ" error="Chọn hạng mục con có trong sheet DanhMuc" sqref="H2:H1000">
      <formula1>DanhMuc!$C$2:$C$100</formula1>
    </dataValidation>
    <dataValidation type="list" allowBlank="1" showErrorMessage="1" errorTitle="Giá trị không hợp lệ" error="Chọn tài khoản có trong sheet TaiKhoan" sqref="E2:F1000">
      <formula1>TaiKhoan!$A$2:$A$21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22" customWidth="1"/>
    <col min="2" max="2" width="14" customWidth="1"/>
    <col min="3" max="8" width="16" customWidth="1"/>
    <col min="9" max="9" width="18" customWidth="1"/>
    <col min="10" max="10" width="28" customWidth="1"/>
  </cols>
  <sheetData>
    <row r="1" spans="1:10">
      <c r="A1" s="4" t="s">
        <v>35</v>
      </c>
      <c r="B1" s="4" t="s">
        <v>28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33</v>
      </c>
    </row>
    <row r="2" spans="1:10">
      <c r="A2" s="10" t="s">
        <v>43</v>
      </c>
      <c r="B2" s="10" t="s">
        <v>43</v>
      </c>
      <c r="C2" s="11">
        <v>0</v>
      </c>
      <c r="D2" s="12">
        <f>IF($A2="","",SUMIFS(GiaoDich!$D:$D,GiaoDich!$C:$C,"Thu",GiaoDich!$E:$E,$A2))</f>
        <v>0</v>
      </c>
      <c r="E2" s="12">
        <f>IF($A2="","",SUMIFS(GiaoDich!$D:$D,GiaoDich!$C:$C,"Chi",GiaoDich!$E:$E,$A2))</f>
        <v>0</v>
      </c>
      <c r="F2" s="12">
        <f>IF($A2="","",SUMIFS(GiaoDich!$D:$D,GiaoDich!$C:$C,"Chuyển khoản",GiaoDich!$F:$F,$A2))</f>
        <v>0</v>
      </c>
      <c r="G2" s="12">
        <f>IF($A2="","",SUMIFS(GiaoDich!$D:$D,GiaoDich!$C:$C,"Chuyển khoản",GiaoDich!$E:$E,$A2))</f>
        <v>0</v>
      </c>
      <c r="H2" s="12">
        <f>IF($A2="","",SUMIFS(GiaoDich!$D:$D,GiaoDich!$C:$C,"Điều chỉnh",GiaoDich!$E:$E,$A2))</f>
        <v>0</v>
      </c>
      <c r="I2" s="13">
        <f t="shared" ref="I2:I21" si="0">IF($A2="","",C2+D2-E2+F2-G2+H2)</f>
        <v>0</v>
      </c>
      <c r="J2" s="14"/>
    </row>
    <row r="3" spans="1:10">
      <c r="A3" s="10" t="s">
        <v>44</v>
      </c>
      <c r="B3" s="10" t="s">
        <v>45</v>
      </c>
      <c r="C3" s="11">
        <v>0</v>
      </c>
      <c r="D3" s="12">
        <f>IF($A3="","",SUMIFS(GiaoDich!$D:$D,GiaoDich!$C:$C,"Thu",GiaoDich!$E:$E,$A3))</f>
        <v>0</v>
      </c>
      <c r="E3" s="12">
        <f>IF($A3="","",SUMIFS(GiaoDich!$D:$D,GiaoDich!$C:$C,"Chi",GiaoDich!$E:$E,$A3))</f>
        <v>0</v>
      </c>
      <c r="F3" s="12">
        <f>IF($A3="","",SUMIFS(GiaoDich!$D:$D,GiaoDich!$C:$C,"Chuyển khoản",GiaoDich!$F:$F,$A3))</f>
        <v>0</v>
      </c>
      <c r="G3" s="12">
        <f>IF($A3="","",SUMIFS(GiaoDich!$D:$D,GiaoDich!$C:$C,"Chuyển khoản",GiaoDich!$E:$E,$A3))</f>
        <v>0</v>
      </c>
      <c r="H3" s="12">
        <f>IF($A3="","",SUMIFS(GiaoDich!$D:$D,GiaoDich!$C:$C,"Điều chỉnh",GiaoDich!$E:$E,$A3))</f>
        <v>0</v>
      </c>
      <c r="I3" s="13">
        <f t="shared" si="0"/>
        <v>0</v>
      </c>
      <c r="J3" s="14"/>
    </row>
    <row r="4" spans="1:10">
      <c r="A4" s="10" t="s">
        <v>46</v>
      </c>
      <c r="B4" s="10" t="s">
        <v>46</v>
      </c>
      <c r="C4" s="11">
        <v>0</v>
      </c>
      <c r="D4" s="12">
        <f>IF($A4="","",SUMIFS(GiaoDich!$D:$D,GiaoDich!$C:$C,"Thu",GiaoDich!$E:$E,$A4))</f>
        <v>0</v>
      </c>
      <c r="E4" s="12">
        <f>IF($A4="","",SUMIFS(GiaoDich!$D:$D,GiaoDich!$C:$C,"Chi",GiaoDich!$E:$E,$A4))</f>
        <v>0</v>
      </c>
      <c r="F4" s="12">
        <f>IF($A4="","",SUMIFS(GiaoDich!$D:$D,GiaoDich!$C:$C,"Chuyển khoản",GiaoDich!$F:$F,$A4))</f>
        <v>0</v>
      </c>
      <c r="G4" s="12">
        <f>IF($A4="","",SUMIFS(GiaoDich!$D:$D,GiaoDich!$C:$C,"Chuyển khoản",GiaoDich!$E:$E,$A4))</f>
        <v>0</v>
      </c>
      <c r="H4" s="12">
        <f>IF($A4="","",SUMIFS(GiaoDich!$D:$D,GiaoDich!$C:$C,"Điều chỉnh",GiaoDich!$E:$E,$A4))</f>
        <v>0</v>
      </c>
      <c r="I4" s="13">
        <f t="shared" si="0"/>
        <v>0</v>
      </c>
      <c r="J4" s="14"/>
    </row>
    <row r="5" spans="1:10">
      <c r="A5" s="10" t="s">
        <v>47</v>
      </c>
      <c r="B5" s="10" t="s">
        <v>47</v>
      </c>
      <c r="C5" s="11">
        <v>0</v>
      </c>
      <c r="D5" s="12">
        <f>IF($A5="","",SUMIFS(GiaoDich!$D:$D,GiaoDich!$C:$C,"Thu",GiaoDich!$E:$E,$A5))</f>
        <v>0</v>
      </c>
      <c r="E5" s="12">
        <f>IF($A5="","",SUMIFS(GiaoDich!$D:$D,GiaoDich!$C:$C,"Chi",GiaoDich!$E:$E,$A5))</f>
        <v>0</v>
      </c>
      <c r="F5" s="12">
        <f>IF($A5="","",SUMIFS(GiaoDich!$D:$D,GiaoDich!$C:$C,"Chuyển khoản",GiaoDich!$F:$F,$A5))</f>
        <v>0</v>
      </c>
      <c r="G5" s="12">
        <f>IF($A5="","",SUMIFS(GiaoDich!$D:$D,GiaoDich!$C:$C,"Chuyển khoản",GiaoDich!$E:$E,$A5))</f>
        <v>0</v>
      </c>
      <c r="H5" s="12">
        <f>IF($A5="","",SUMIFS(GiaoDich!$D:$D,GiaoDich!$C:$C,"Điều chỉnh",GiaoDich!$E:$E,$A5))</f>
        <v>0</v>
      </c>
      <c r="I5" s="13">
        <f t="shared" si="0"/>
        <v>0</v>
      </c>
      <c r="J5" s="14"/>
    </row>
    <row r="6" spans="1:10">
      <c r="A6" s="10"/>
      <c r="B6" s="10"/>
      <c r="C6" s="11"/>
      <c r="D6" s="12" t="str">
        <f>IF($A6="","",SUMIFS(GiaoDich!$D:$D,GiaoDich!$C:$C,"Thu",GiaoDich!$E:$E,$A6))</f>
        <v/>
      </c>
      <c r="E6" s="12" t="str">
        <f>IF($A6="","",SUMIFS(GiaoDich!$D:$D,GiaoDich!$C:$C,"Chi",GiaoDich!$E:$E,$A6))</f>
        <v/>
      </c>
      <c r="F6" s="12" t="str">
        <f>IF($A6="","",SUMIFS(GiaoDich!$D:$D,GiaoDich!$C:$C,"Chuyển khoản",GiaoDich!$F:$F,$A6))</f>
        <v/>
      </c>
      <c r="G6" s="12" t="str">
        <f>IF($A6="","",SUMIFS(GiaoDich!$D:$D,GiaoDich!$C:$C,"Chuyển khoản",GiaoDich!$E:$E,$A6))</f>
        <v/>
      </c>
      <c r="H6" s="12" t="str">
        <f>IF($A6="","",SUMIFS(GiaoDich!$D:$D,GiaoDich!$C:$C,"Điều chỉnh",GiaoDich!$E:$E,$A6))</f>
        <v/>
      </c>
      <c r="I6" s="13" t="str">
        <f t="shared" si="0"/>
        <v/>
      </c>
      <c r="J6" s="14"/>
    </row>
    <row r="7" spans="1:10">
      <c r="A7" s="10"/>
      <c r="B7" s="10"/>
      <c r="C7" s="11"/>
      <c r="D7" s="12" t="str">
        <f>IF($A7="","",SUMIFS(GiaoDich!$D:$D,GiaoDich!$C:$C,"Thu",GiaoDich!$E:$E,$A7))</f>
        <v/>
      </c>
      <c r="E7" s="12" t="str">
        <f>IF($A7="","",SUMIFS(GiaoDich!$D:$D,GiaoDich!$C:$C,"Chi",GiaoDich!$E:$E,$A7))</f>
        <v/>
      </c>
      <c r="F7" s="12" t="str">
        <f>IF($A7="","",SUMIFS(GiaoDich!$D:$D,GiaoDich!$C:$C,"Chuyển khoản",GiaoDich!$F:$F,$A7))</f>
        <v/>
      </c>
      <c r="G7" s="12" t="str">
        <f>IF($A7="","",SUMIFS(GiaoDich!$D:$D,GiaoDich!$C:$C,"Chuyển khoản",GiaoDich!$E:$E,$A7))</f>
        <v/>
      </c>
      <c r="H7" s="12" t="str">
        <f>IF($A7="","",SUMIFS(GiaoDich!$D:$D,GiaoDich!$C:$C,"Điều chỉnh",GiaoDich!$E:$E,$A7))</f>
        <v/>
      </c>
      <c r="I7" s="13" t="str">
        <f t="shared" si="0"/>
        <v/>
      </c>
      <c r="J7" s="14"/>
    </row>
    <row r="8" spans="1:10">
      <c r="A8" s="10"/>
      <c r="B8" s="10"/>
      <c r="C8" s="11"/>
      <c r="D8" s="12" t="str">
        <f>IF($A8="","",SUMIFS(GiaoDich!$D:$D,GiaoDich!$C:$C,"Thu",GiaoDich!$E:$E,$A8))</f>
        <v/>
      </c>
      <c r="E8" s="12" t="str">
        <f>IF($A8="","",SUMIFS(GiaoDich!$D:$D,GiaoDich!$C:$C,"Chi",GiaoDich!$E:$E,$A8))</f>
        <v/>
      </c>
      <c r="F8" s="12" t="str">
        <f>IF($A8="","",SUMIFS(GiaoDich!$D:$D,GiaoDich!$C:$C,"Chuyển khoản",GiaoDich!$F:$F,$A8))</f>
        <v/>
      </c>
      <c r="G8" s="12" t="str">
        <f>IF($A8="","",SUMIFS(GiaoDich!$D:$D,GiaoDich!$C:$C,"Chuyển khoản",GiaoDich!$E:$E,$A8))</f>
        <v/>
      </c>
      <c r="H8" s="12" t="str">
        <f>IF($A8="","",SUMIFS(GiaoDich!$D:$D,GiaoDich!$C:$C,"Điều chỉnh",GiaoDich!$E:$E,$A8))</f>
        <v/>
      </c>
      <c r="I8" s="13" t="str">
        <f t="shared" si="0"/>
        <v/>
      </c>
      <c r="J8" s="14"/>
    </row>
    <row r="9" spans="1:10">
      <c r="A9" s="10"/>
      <c r="B9" s="10"/>
      <c r="C9" s="11"/>
      <c r="D9" s="12" t="str">
        <f>IF($A9="","",SUMIFS(GiaoDich!$D:$D,GiaoDich!$C:$C,"Thu",GiaoDich!$E:$E,$A9))</f>
        <v/>
      </c>
      <c r="E9" s="12" t="str">
        <f>IF($A9="","",SUMIFS(GiaoDich!$D:$D,GiaoDich!$C:$C,"Chi",GiaoDich!$E:$E,$A9))</f>
        <v/>
      </c>
      <c r="F9" s="12" t="str">
        <f>IF($A9="","",SUMIFS(GiaoDich!$D:$D,GiaoDich!$C:$C,"Chuyển khoản",GiaoDich!$F:$F,$A9))</f>
        <v/>
      </c>
      <c r="G9" s="12" t="str">
        <f>IF($A9="","",SUMIFS(GiaoDich!$D:$D,GiaoDich!$C:$C,"Chuyển khoản",GiaoDich!$E:$E,$A9))</f>
        <v/>
      </c>
      <c r="H9" s="12" t="str">
        <f>IF($A9="","",SUMIFS(GiaoDich!$D:$D,GiaoDich!$C:$C,"Điều chỉnh",GiaoDich!$E:$E,$A9))</f>
        <v/>
      </c>
      <c r="I9" s="13" t="str">
        <f t="shared" si="0"/>
        <v/>
      </c>
      <c r="J9" s="14"/>
    </row>
    <row r="10" spans="1:10">
      <c r="A10" s="10"/>
      <c r="B10" s="10"/>
      <c r="C10" s="11"/>
      <c r="D10" s="12" t="str">
        <f>IF($A10="","",SUMIFS(GiaoDich!$D:$D,GiaoDich!$C:$C,"Thu",GiaoDich!$E:$E,$A10))</f>
        <v/>
      </c>
      <c r="E10" s="12" t="str">
        <f>IF($A10="","",SUMIFS(GiaoDich!$D:$D,GiaoDich!$C:$C,"Chi",GiaoDich!$E:$E,$A10))</f>
        <v/>
      </c>
      <c r="F10" s="12" t="str">
        <f>IF($A10="","",SUMIFS(GiaoDich!$D:$D,GiaoDich!$C:$C,"Chuyển khoản",GiaoDich!$F:$F,$A10))</f>
        <v/>
      </c>
      <c r="G10" s="12" t="str">
        <f>IF($A10="","",SUMIFS(GiaoDich!$D:$D,GiaoDich!$C:$C,"Chuyển khoản",GiaoDich!$E:$E,$A10))</f>
        <v/>
      </c>
      <c r="H10" s="12" t="str">
        <f>IF($A10="","",SUMIFS(GiaoDich!$D:$D,GiaoDich!$C:$C,"Điều chỉnh",GiaoDich!$E:$E,$A10))</f>
        <v/>
      </c>
      <c r="I10" s="13" t="str">
        <f t="shared" si="0"/>
        <v/>
      </c>
      <c r="J10" s="14"/>
    </row>
    <row r="11" spans="1:10">
      <c r="A11" s="10"/>
      <c r="B11" s="10"/>
      <c r="C11" s="11"/>
      <c r="D11" s="12" t="str">
        <f>IF($A11="","",SUMIFS(GiaoDich!$D:$D,GiaoDich!$C:$C,"Thu",GiaoDich!$E:$E,$A11))</f>
        <v/>
      </c>
      <c r="E11" s="12" t="str">
        <f>IF($A11="","",SUMIFS(GiaoDich!$D:$D,GiaoDich!$C:$C,"Chi",GiaoDich!$E:$E,$A11))</f>
        <v/>
      </c>
      <c r="F11" s="12" t="str">
        <f>IF($A11="","",SUMIFS(GiaoDich!$D:$D,GiaoDich!$C:$C,"Chuyển khoản",GiaoDich!$F:$F,$A11))</f>
        <v/>
      </c>
      <c r="G11" s="12" t="str">
        <f>IF($A11="","",SUMIFS(GiaoDich!$D:$D,GiaoDich!$C:$C,"Chuyển khoản",GiaoDich!$E:$E,$A11))</f>
        <v/>
      </c>
      <c r="H11" s="12" t="str">
        <f>IF($A11="","",SUMIFS(GiaoDich!$D:$D,GiaoDich!$C:$C,"Điều chỉnh",GiaoDich!$E:$E,$A11))</f>
        <v/>
      </c>
      <c r="I11" s="13" t="str">
        <f t="shared" si="0"/>
        <v/>
      </c>
      <c r="J11" s="14"/>
    </row>
    <row r="12" spans="1:10">
      <c r="A12" s="10"/>
      <c r="B12" s="10"/>
      <c r="C12" s="11"/>
      <c r="D12" s="12" t="str">
        <f>IF($A12="","",SUMIFS(GiaoDich!$D:$D,GiaoDich!$C:$C,"Thu",GiaoDich!$E:$E,$A12))</f>
        <v/>
      </c>
      <c r="E12" s="12" t="str">
        <f>IF($A12="","",SUMIFS(GiaoDich!$D:$D,GiaoDich!$C:$C,"Chi",GiaoDich!$E:$E,$A12))</f>
        <v/>
      </c>
      <c r="F12" s="12" t="str">
        <f>IF($A12="","",SUMIFS(GiaoDich!$D:$D,GiaoDich!$C:$C,"Chuyển khoản",GiaoDich!$F:$F,$A12))</f>
        <v/>
      </c>
      <c r="G12" s="12" t="str">
        <f>IF($A12="","",SUMIFS(GiaoDich!$D:$D,GiaoDich!$C:$C,"Chuyển khoản",GiaoDich!$E:$E,$A12))</f>
        <v/>
      </c>
      <c r="H12" s="12" t="str">
        <f>IF($A12="","",SUMIFS(GiaoDich!$D:$D,GiaoDich!$C:$C,"Điều chỉnh",GiaoDich!$E:$E,$A12))</f>
        <v/>
      </c>
      <c r="I12" s="13" t="str">
        <f t="shared" si="0"/>
        <v/>
      </c>
      <c r="J12" s="14"/>
    </row>
    <row r="13" spans="1:10">
      <c r="A13" s="10"/>
      <c r="B13" s="10"/>
      <c r="C13" s="11"/>
      <c r="D13" s="12" t="str">
        <f>IF($A13="","",SUMIFS(GiaoDich!$D:$D,GiaoDich!$C:$C,"Thu",GiaoDich!$E:$E,$A13))</f>
        <v/>
      </c>
      <c r="E13" s="12" t="str">
        <f>IF($A13="","",SUMIFS(GiaoDich!$D:$D,GiaoDich!$C:$C,"Chi",GiaoDich!$E:$E,$A13))</f>
        <v/>
      </c>
      <c r="F13" s="12" t="str">
        <f>IF($A13="","",SUMIFS(GiaoDich!$D:$D,GiaoDich!$C:$C,"Chuyển khoản",GiaoDich!$F:$F,$A13))</f>
        <v/>
      </c>
      <c r="G13" s="12" t="str">
        <f>IF($A13="","",SUMIFS(GiaoDich!$D:$D,GiaoDich!$C:$C,"Chuyển khoản",GiaoDich!$E:$E,$A13))</f>
        <v/>
      </c>
      <c r="H13" s="12" t="str">
        <f>IF($A13="","",SUMIFS(GiaoDich!$D:$D,GiaoDich!$C:$C,"Điều chỉnh",GiaoDich!$E:$E,$A13))</f>
        <v/>
      </c>
      <c r="I13" s="13" t="str">
        <f t="shared" si="0"/>
        <v/>
      </c>
      <c r="J13" s="14"/>
    </row>
    <row r="14" spans="1:10">
      <c r="A14" s="10"/>
      <c r="B14" s="10"/>
      <c r="C14" s="11"/>
      <c r="D14" s="12" t="str">
        <f>IF($A14="","",SUMIFS(GiaoDich!$D:$D,GiaoDich!$C:$C,"Thu",GiaoDich!$E:$E,$A14))</f>
        <v/>
      </c>
      <c r="E14" s="12" t="str">
        <f>IF($A14="","",SUMIFS(GiaoDich!$D:$D,GiaoDich!$C:$C,"Chi",GiaoDich!$E:$E,$A14))</f>
        <v/>
      </c>
      <c r="F14" s="12" t="str">
        <f>IF($A14="","",SUMIFS(GiaoDich!$D:$D,GiaoDich!$C:$C,"Chuyển khoản",GiaoDich!$F:$F,$A14))</f>
        <v/>
      </c>
      <c r="G14" s="12" t="str">
        <f>IF($A14="","",SUMIFS(GiaoDich!$D:$D,GiaoDich!$C:$C,"Chuyển khoản",GiaoDich!$E:$E,$A14))</f>
        <v/>
      </c>
      <c r="H14" s="12" t="str">
        <f>IF($A14="","",SUMIFS(GiaoDich!$D:$D,GiaoDich!$C:$C,"Điều chỉnh",GiaoDich!$E:$E,$A14))</f>
        <v/>
      </c>
      <c r="I14" s="13" t="str">
        <f t="shared" si="0"/>
        <v/>
      </c>
      <c r="J14" s="14"/>
    </row>
    <row r="15" spans="1:10">
      <c r="A15" s="10"/>
      <c r="B15" s="10"/>
      <c r="C15" s="11"/>
      <c r="D15" s="12" t="str">
        <f>IF($A15="","",SUMIFS(GiaoDich!$D:$D,GiaoDich!$C:$C,"Thu",GiaoDich!$E:$E,$A15))</f>
        <v/>
      </c>
      <c r="E15" s="12" t="str">
        <f>IF($A15="","",SUMIFS(GiaoDich!$D:$D,GiaoDich!$C:$C,"Chi",GiaoDich!$E:$E,$A15))</f>
        <v/>
      </c>
      <c r="F15" s="12" t="str">
        <f>IF($A15="","",SUMIFS(GiaoDich!$D:$D,GiaoDich!$C:$C,"Chuyển khoản",GiaoDich!$F:$F,$A15))</f>
        <v/>
      </c>
      <c r="G15" s="12" t="str">
        <f>IF($A15="","",SUMIFS(GiaoDich!$D:$D,GiaoDich!$C:$C,"Chuyển khoản",GiaoDich!$E:$E,$A15))</f>
        <v/>
      </c>
      <c r="H15" s="12" t="str">
        <f>IF($A15="","",SUMIFS(GiaoDich!$D:$D,GiaoDich!$C:$C,"Điều chỉnh",GiaoDich!$E:$E,$A15))</f>
        <v/>
      </c>
      <c r="I15" s="13" t="str">
        <f t="shared" si="0"/>
        <v/>
      </c>
      <c r="J15" s="14"/>
    </row>
    <row r="16" spans="1:10">
      <c r="A16" s="10"/>
      <c r="B16" s="10"/>
      <c r="C16" s="11"/>
      <c r="D16" s="12" t="str">
        <f>IF($A16="","",SUMIFS(GiaoDich!$D:$D,GiaoDich!$C:$C,"Thu",GiaoDich!$E:$E,$A16))</f>
        <v/>
      </c>
      <c r="E16" s="12" t="str">
        <f>IF($A16="","",SUMIFS(GiaoDich!$D:$D,GiaoDich!$C:$C,"Chi",GiaoDich!$E:$E,$A16))</f>
        <v/>
      </c>
      <c r="F16" s="12" t="str">
        <f>IF($A16="","",SUMIFS(GiaoDich!$D:$D,GiaoDich!$C:$C,"Chuyển khoản",GiaoDich!$F:$F,$A16))</f>
        <v/>
      </c>
      <c r="G16" s="12" t="str">
        <f>IF($A16="","",SUMIFS(GiaoDich!$D:$D,GiaoDich!$C:$C,"Chuyển khoản",GiaoDich!$E:$E,$A16))</f>
        <v/>
      </c>
      <c r="H16" s="12" t="str">
        <f>IF($A16="","",SUMIFS(GiaoDich!$D:$D,GiaoDich!$C:$C,"Điều chỉnh",GiaoDich!$E:$E,$A16))</f>
        <v/>
      </c>
      <c r="I16" s="13" t="str">
        <f t="shared" si="0"/>
        <v/>
      </c>
      <c r="J16" s="14"/>
    </row>
    <row r="17" spans="1:10">
      <c r="A17" s="10"/>
      <c r="B17" s="10"/>
      <c r="C17" s="11"/>
      <c r="D17" s="12" t="str">
        <f>IF($A17="","",SUMIFS(GiaoDich!$D:$D,GiaoDich!$C:$C,"Thu",GiaoDich!$E:$E,$A17))</f>
        <v/>
      </c>
      <c r="E17" s="12" t="str">
        <f>IF($A17="","",SUMIFS(GiaoDich!$D:$D,GiaoDich!$C:$C,"Chi",GiaoDich!$E:$E,$A17))</f>
        <v/>
      </c>
      <c r="F17" s="12" t="str">
        <f>IF($A17="","",SUMIFS(GiaoDich!$D:$D,GiaoDich!$C:$C,"Chuyển khoản",GiaoDich!$F:$F,$A17))</f>
        <v/>
      </c>
      <c r="G17" s="12" t="str">
        <f>IF($A17="","",SUMIFS(GiaoDich!$D:$D,GiaoDich!$C:$C,"Chuyển khoản",GiaoDich!$E:$E,$A17))</f>
        <v/>
      </c>
      <c r="H17" s="12" t="str">
        <f>IF($A17="","",SUMIFS(GiaoDich!$D:$D,GiaoDich!$C:$C,"Điều chỉnh",GiaoDich!$E:$E,$A17))</f>
        <v/>
      </c>
      <c r="I17" s="13" t="str">
        <f t="shared" si="0"/>
        <v/>
      </c>
      <c r="J17" s="14"/>
    </row>
    <row r="18" spans="1:10">
      <c r="A18" s="10"/>
      <c r="B18" s="10"/>
      <c r="C18" s="11"/>
      <c r="D18" s="12" t="str">
        <f>IF($A18="","",SUMIFS(GiaoDich!$D:$D,GiaoDich!$C:$C,"Thu",GiaoDich!$E:$E,$A18))</f>
        <v/>
      </c>
      <c r="E18" s="12" t="str">
        <f>IF($A18="","",SUMIFS(GiaoDich!$D:$D,GiaoDich!$C:$C,"Chi",GiaoDich!$E:$E,$A18))</f>
        <v/>
      </c>
      <c r="F18" s="12" t="str">
        <f>IF($A18="","",SUMIFS(GiaoDich!$D:$D,GiaoDich!$C:$C,"Chuyển khoản",GiaoDich!$F:$F,$A18))</f>
        <v/>
      </c>
      <c r="G18" s="12" t="str">
        <f>IF($A18="","",SUMIFS(GiaoDich!$D:$D,GiaoDich!$C:$C,"Chuyển khoản",GiaoDich!$E:$E,$A18))</f>
        <v/>
      </c>
      <c r="H18" s="12" t="str">
        <f>IF($A18="","",SUMIFS(GiaoDich!$D:$D,GiaoDich!$C:$C,"Điều chỉnh",GiaoDich!$E:$E,$A18))</f>
        <v/>
      </c>
      <c r="I18" s="13" t="str">
        <f t="shared" si="0"/>
        <v/>
      </c>
      <c r="J18" s="14"/>
    </row>
    <row r="19" spans="1:10">
      <c r="A19" s="10"/>
      <c r="B19" s="10"/>
      <c r="C19" s="11"/>
      <c r="D19" s="12" t="str">
        <f>IF($A19="","",SUMIFS(GiaoDich!$D:$D,GiaoDich!$C:$C,"Thu",GiaoDich!$E:$E,$A19))</f>
        <v/>
      </c>
      <c r="E19" s="12" t="str">
        <f>IF($A19="","",SUMIFS(GiaoDich!$D:$D,GiaoDich!$C:$C,"Chi",GiaoDich!$E:$E,$A19))</f>
        <v/>
      </c>
      <c r="F19" s="12" t="str">
        <f>IF($A19="","",SUMIFS(GiaoDich!$D:$D,GiaoDich!$C:$C,"Chuyển khoản",GiaoDich!$F:$F,$A19))</f>
        <v/>
      </c>
      <c r="G19" s="12" t="str">
        <f>IF($A19="","",SUMIFS(GiaoDich!$D:$D,GiaoDich!$C:$C,"Chuyển khoản",GiaoDich!$E:$E,$A19))</f>
        <v/>
      </c>
      <c r="H19" s="12" t="str">
        <f>IF($A19="","",SUMIFS(GiaoDich!$D:$D,GiaoDich!$C:$C,"Điều chỉnh",GiaoDich!$E:$E,$A19))</f>
        <v/>
      </c>
      <c r="I19" s="13" t="str">
        <f t="shared" si="0"/>
        <v/>
      </c>
      <c r="J19" s="14"/>
    </row>
    <row r="20" spans="1:10">
      <c r="A20" s="10"/>
      <c r="B20" s="10"/>
      <c r="C20" s="11"/>
      <c r="D20" s="12" t="str">
        <f>IF($A20="","",SUMIFS(GiaoDich!$D:$D,GiaoDich!$C:$C,"Thu",GiaoDich!$E:$E,$A20))</f>
        <v/>
      </c>
      <c r="E20" s="12" t="str">
        <f>IF($A20="","",SUMIFS(GiaoDich!$D:$D,GiaoDich!$C:$C,"Chi",GiaoDich!$E:$E,$A20))</f>
        <v/>
      </c>
      <c r="F20" s="12" t="str">
        <f>IF($A20="","",SUMIFS(GiaoDich!$D:$D,GiaoDich!$C:$C,"Chuyển khoản",GiaoDich!$F:$F,$A20))</f>
        <v/>
      </c>
      <c r="G20" s="12" t="str">
        <f>IF($A20="","",SUMIFS(GiaoDich!$D:$D,GiaoDich!$C:$C,"Chuyển khoản",GiaoDich!$E:$E,$A20))</f>
        <v/>
      </c>
      <c r="H20" s="12" t="str">
        <f>IF($A20="","",SUMIFS(GiaoDich!$D:$D,GiaoDich!$C:$C,"Điều chỉnh",GiaoDich!$E:$E,$A20))</f>
        <v/>
      </c>
      <c r="I20" s="13" t="str">
        <f t="shared" si="0"/>
        <v/>
      </c>
      <c r="J20" s="14"/>
    </row>
    <row r="21" spans="1:10">
      <c r="A21" s="10"/>
      <c r="B21" s="10"/>
      <c r="C21" s="11"/>
      <c r="D21" s="12" t="str">
        <f>IF($A21="","",SUMIFS(GiaoDich!$D:$D,GiaoDich!$C:$C,"Thu",GiaoDich!$E:$E,$A21))</f>
        <v/>
      </c>
      <c r="E21" s="12" t="str">
        <f>IF($A21="","",SUMIFS(GiaoDich!$D:$D,GiaoDich!$C:$C,"Chi",GiaoDich!$E:$E,$A21))</f>
        <v/>
      </c>
      <c r="F21" s="12" t="str">
        <f>IF($A21="","",SUMIFS(GiaoDich!$D:$D,GiaoDich!$C:$C,"Chuyển khoản",GiaoDich!$F:$F,$A21))</f>
        <v/>
      </c>
      <c r="G21" s="12" t="str">
        <f>IF($A21="","",SUMIFS(GiaoDich!$D:$D,GiaoDich!$C:$C,"Chuyển khoản",GiaoDich!$E:$E,$A21))</f>
        <v/>
      </c>
      <c r="H21" s="12" t="str">
        <f>IF($A21="","",SUMIFS(GiaoDich!$D:$D,GiaoDich!$C:$C,"Điều chỉnh",GiaoDich!$E:$E,$A21))</f>
        <v/>
      </c>
      <c r="I21" s="13" t="str">
        <f t="shared" si="0"/>
        <v/>
      </c>
      <c r="J21" s="14"/>
    </row>
    <row r="22" spans="1:10">
      <c r="A22" s="15" t="s">
        <v>48</v>
      </c>
      <c r="B22" s="16"/>
      <c r="C22" s="17">
        <f t="shared" ref="C22:I22" si="1">SUM(C2:C21)</f>
        <v>0</v>
      </c>
      <c r="D22" s="17">
        <f t="shared" si="1"/>
        <v>0</v>
      </c>
      <c r="E22" s="17">
        <f t="shared" si="1"/>
        <v>0</v>
      </c>
      <c r="F22" s="17">
        <f t="shared" si="1"/>
        <v>0</v>
      </c>
      <c r="G22" s="17">
        <f t="shared" si="1"/>
        <v>0</v>
      </c>
      <c r="H22" s="17">
        <f t="shared" si="1"/>
        <v>0</v>
      </c>
      <c r="I22" s="17">
        <f t="shared" si="1"/>
        <v>0</v>
      </c>
      <c r="J22" s="16"/>
    </row>
    <row r="24" spans="1:10">
      <c r="A24" s="8" t="s">
        <v>49</v>
      </c>
    </row>
  </sheetData>
  <dataValidations count="1">
    <dataValidation type="list" allowBlank="1" sqref="B2:B21">
      <formula1>"Tiền mặt,Ngân hàng,Ví điện tử,Tiết kiệm,Thẻ tín dụng,Khác"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8" customWidth="1"/>
    <col min="2" max="2" width="22" customWidth="1"/>
    <col min="3" max="3" width="30" customWidth="1"/>
    <col min="4" max="4" width="24" customWidth="1"/>
    <col min="5" max="5" width="22" customWidth="1"/>
    <col min="6" max="6" width="8" customWidth="1"/>
    <col min="7" max="7" width="3" customWidth="1"/>
    <col min="8" max="8" width="16" customWidth="1"/>
  </cols>
  <sheetData>
    <row r="1" ht="26.4" spans="1:10">
      <c r="A1" s="4" t="s">
        <v>28</v>
      </c>
      <c r="B1" s="4" t="s">
        <v>31</v>
      </c>
      <c r="C1" s="4" t="s">
        <v>32</v>
      </c>
      <c r="D1" s="4" t="s">
        <v>50</v>
      </c>
      <c r="E1" s="4" t="s">
        <v>51</v>
      </c>
      <c r="F1" s="4" t="s">
        <v>28</v>
      </c>
      <c r="H1" s="4" t="s">
        <v>52</v>
      </c>
      <c r="J1" s="8" t="s">
        <v>53</v>
      </c>
    </row>
    <row r="2" spans="1:10">
      <c r="A2" s="2" t="s">
        <v>38</v>
      </c>
      <c r="B2" s="2" t="s">
        <v>54</v>
      </c>
      <c r="C2" s="2" t="s">
        <v>55</v>
      </c>
      <c r="D2" s="9">
        <f>IF(C2="","",SUMIFS(GiaoDich!$D:$D,GiaoDich!$C:$C,A2,GiaoDich!$H:$H,C2,GiaoDich!$B:$B,"&gt;="&amp;TongQuan!$B$6,GiaoDich!$B:$B,"&lt;"&amp;TongQuan!$B$7))</f>
        <v>0</v>
      </c>
      <c r="E2" s="2" t="s">
        <v>54</v>
      </c>
      <c r="F2" s="2" t="s">
        <v>38</v>
      </c>
      <c r="G2" s="2"/>
      <c r="H2" s="2" t="s">
        <v>37</v>
      </c>
    </row>
    <row r="3" spans="1:10">
      <c r="A3" s="2" t="s">
        <v>38</v>
      </c>
      <c r="B3" s="2" t="s">
        <v>54</v>
      </c>
      <c r="C3" s="2" t="s">
        <v>56</v>
      </c>
      <c r="D3" s="9">
        <f>IF(C3="","",SUMIFS(GiaoDich!$D:$D,GiaoDich!$C:$C,A3,GiaoDich!$H:$H,C3,GiaoDich!$B:$B,"&gt;="&amp;TongQuan!$B$6,GiaoDich!$B:$B,"&lt;"&amp;TongQuan!$B$7))</f>
        <v>0</v>
      </c>
      <c r="E3" s="2" t="s">
        <v>57</v>
      </c>
      <c r="F3" s="2" t="s">
        <v>38</v>
      </c>
      <c r="G3" s="2"/>
      <c r="H3" s="2" t="s">
        <v>38</v>
      </c>
    </row>
    <row r="4" spans="1:10">
      <c r="A4" s="2" t="s">
        <v>38</v>
      </c>
      <c r="B4" s="2" t="s">
        <v>54</v>
      </c>
      <c r="C4" s="2" t="s">
        <v>58</v>
      </c>
      <c r="D4" s="9">
        <f>IF(C4="","",SUMIFS(GiaoDich!$D:$D,GiaoDich!$C:$C,A4,GiaoDich!$H:$H,C4,GiaoDich!$B:$B,"&gt;="&amp;TongQuan!$B$6,GiaoDich!$B:$B,"&lt;"&amp;TongQuan!$B$7))</f>
        <v>0</v>
      </c>
      <c r="E4" s="2" t="s">
        <v>59</v>
      </c>
      <c r="F4" s="2" t="s">
        <v>38</v>
      </c>
      <c r="G4" s="2"/>
      <c r="H4" s="2" t="s">
        <v>60</v>
      </c>
    </row>
    <row r="5" spans="1:10">
      <c r="A5" s="2" t="s">
        <v>38</v>
      </c>
      <c r="B5" s="2" t="s">
        <v>54</v>
      </c>
      <c r="C5" s="2" t="s">
        <v>61</v>
      </c>
      <c r="D5" s="9">
        <f>IF(C5="","",SUMIFS(GiaoDich!$D:$D,GiaoDich!$C:$C,A5,GiaoDich!$H:$H,C5,GiaoDich!$B:$B,"&gt;="&amp;TongQuan!$B$6,GiaoDich!$B:$B,"&lt;"&amp;TongQuan!$B$7))</f>
        <v>0</v>
      </c>
      <c r="E5" s="2" t="s">
        <v>62</v>
      </c>
      <c r="F5" s="2" t="s">
        <v>38</v>
      </c>
      <c r="G5" s="2"/>
      <c r="H5" s="2" t="s">
        <v>41</v>
      </c>
    </row>
    <row r="6" spans="1:10">
      <c r="A6" s="2" t="s">
        <v>38</v>
      </c>
      <c r="B6" s="2" t="s">
        <v>54</v>
      </c>
      <c r="C6" s="2" t="s">
        <v>63</v>
      </c>
      <c r="D6" s="9">
        <f>IF(C6="","",SUMIFS(GiaoDich!$D:$D,GiaoDich!$C:$C,A6,GiaoDich!$H:$H,C6,GiaoDich!$B:$B,"&gt;="&amp;TongQuan!$B$6,GiaoDich!$B:$B,"&lt;"&amp;TongQuan!$B$7))</f>
        <v>0</v>
      </c>
      <c r="E6" s="2" t="s">
        <v>64</v>
      </c>
      <c r="F6" s="2" t="s">
        <v>38</v>
      </c>
      <c r="G6" s="2"/>
      <c r="H6" s="2"/>
    </row>
    <row r="7" spans="1:10">
      <c r="A7" s="2" t="s">
        <v>38</v>
      </c>
      <c r="B7" s="2" t="s">
        <v>54</v>
      </c>
      <c r="C7" s="2" t="s">
        <v>65</v>
      </c>
      <c r="D7" s="9">
        <f>IF(C7="","",SUMIFS(GiaoDich!$D:$D,GiaoDich!$C:$C,A7,GiaoDich!$H:$H,C7,GiaoDich!$B:$B,"&gt;="&amp;TongQuan!$B$6,GiaoDich!$B:$B,"&lt;"&amp;TongQuan!$B$7))</f>
        <v>0</v>
      </c>
      <c r="E7" s="2" t="s">
        <v>66</v>
      </c>
      <c r="F7" s="2" t="s">
        <v>38</v>
      </c>
      <c r="G7" s="2"/>
      <c r="H7" s="2"/>
    </row>
    <row r="8" spans="1:10">
      <c r="A8" s="2" t="s">
        <v>38</v>
      </c>
      <c r="B8" s="2" t="s">
        <v>57</v>
      </c>
      <c r="C8" s="2" t="s">
        <v>67</v>
      </c>
      <c r="D8" s="9">
        <f>IF(C8="","",SUMIFS(GiaoDich!$D:$D,GiaoDich!$C:$C,A8,GiaoDich!$H:$H,C8,GiaoDich!$B:$B,"&gt;="&amp;TongQuan!$B$6,GiaoDich!$B:$B,"&lt;"&amp;TongQuan!$B$7))</f>
        <v>0</v>
      </c>
      <c r="E8" s="2" t="s">
        <v>68</v>
      </c>
      <c r="F8" s="2" t="s">
        <v>38</v>
      </c>
      <c r="G8" s="2"/>
      <c r="H8" s="2"/>
    </row>
    <row r="9" spans="1:10">
      <c r="A9" s="2" t="s">
        <v>38</v>
      </c>
      <c r="B9" s="2" t="s">
        <v>57</v>
      </c>
      <c r="C9" s="2" t="s">
        <v>69</v>
      </c>
      <c r="D9" s="9">
        <f>IF(C9="","",SUMIFS(GiaoDich!$D:$D,GiaoDich!$C:$C,A9,GiaoDich!$H:$H,C9,GiaoDich!$B:$B,"&gt;="&amp;TongQuan!$B$6,GiaoDich!$B:$B,"&lt;"&amp;TongQuan!$B$7))</f>
        <v>0</v>
      </c>
      <c r="E9" s="2" t="s">
        <v>70</v>
      </c>
      <c r="F9" s="2" t="s">
        <v>38</v>
      </c>
      <c r="G9" s="2"/>
      <c r="H9" s="2"/>
    </row>
    <row r="10" spans="1:10">
      <c r="A10" s="2" t="s">
        <v>38</v>
      </c>
      <c r="B10" s="2" t="s">
        <v>57</v>
      </c>
      <c r="C10" s="2" t="s">
        <v>71</v>
      </c>
      <c r="D10" s="9">
        <f>IF(C10="","",SUMIFS(GiaoDich!$D:$D,GiaoDich!$C:$C,A10,GiaoDich!$H:$H,C10,GiaoDich!$B:$B,"&gt;="&amp;TongQuan!$B$6,GiaoDich!$B:$B,"&lt;"&amp;TongQuan!$B$7))</f>
        <v>0</v>
      </c>
      <c r="E10" s="2" t="s">
        <v>72</v>
      </c>
      <c r="F10" s="2" t="s">
        <v>38</v>
      </c>
      <c r="G10" s="2"/>
      <c r="H10" s="2"/>
    </row>
    <row r="11" spans="1:10">
      <c r="A11" s="2" t="s">
        <v>38</v>
      </c>
      <c r="B11" s="2" t="s">
        <v>57</v>
      </c>
      <c r="C11" s="2" t="s">
        <v>73</v>
      </c>
      <c r="D11" s="9">
        <f>IF(C11="","",SUMIFS(GiaoDich!$D:$D,GiaoDich!$C:$C,A11,GiaoDich!$H:$H,C11,GiaoDich!$B:$B,"&gt;="&amp;TongQuan!$B$6,GiaoDich!$B:$B,"&lt;"&amp;TongQuan!$B$7))</f>
        <v>0</v>
      </c>
      <c r="E11" s="2" t="s">
        <v>74</v>
      </c>
      <c r="F11" s="2" t="s">
        <v>38</v>
      </c>
      <c r="G11" s="2"/>
      <c r="H11" s="2"/>
    </row>
    <row r="12" spans="1:10">
      <c r="A12" s="2" t="s">
        <v>38</v>
      </c>
      <c r="B12" s="2" t="s">
        <v>57</v>
      </c>
      <c r="C12" s="2" t="s">
        <v>75</v>
      </c>
      <c r="D12" s="9">
        <f>IF(C12="","",SUMIFS(GiaoDich!$D:$D,GiaoDich!$C:$C,A12,GiaoDich!$H:$H,C12,GiaoDich!$B:$B,"&gt;="&amp;TongQuan!$B$6,GiaoDich!$B:$B,"&lt;"&amp;TongQuan!$B$7))</f>
        <v>0</v>
      </c>
      <c r="E12" s="2" t="s">
        <v>76</v>
      </c>
      <c r="F12" s="2" t="s">
        <v>38</v>
      </c>
      <c r="G12" s="2"/>
      <c r="H12" s="2"/>
    </row>
    <row r="13" spans="1:10">
      <c r="A13" s="2" t="s">
        <v>38</v>
      </c>
      <c r="B13" s="2" t="s">
        <v>57</v>
      </c>
      <c r="C13" s="2" t="s">
        <v>77</v>
      </c>
      <c r="D13" s="9">
        <f>IF(C13="","",SUMIFS(GiaoDich!$D:$D,GiaoDich!$C:$C,A13,GiaoDich!$H:$H,C13,GiaoDich!$B:$B,"&gt;="&amp;TongQuan!$B$6,GiaoDich!$B:$B,"&lt;"&amp;TongQuan!$B$7))</f>
        <v>0</v>
      </c>
      <c r="E13" s="2" t="s">
        <v>78</v>
      </c>
      <c r="F13" s="2" t="s">
        <v>38</v>
      </c>
      <c r="G13" s="2"/>
      <c r="H13" s="2"/>
    </row>
    <row r="14" spans="1:10">
      <c r="A14" s="2" t="s">
        <v>38</v>
      </c>
      <c r="B14" s="2" t="s">
        <v>57</v>
      </c>
      <c r="C14" s="2" t="s">
        <v>79</v>
      </c>
      <c r="D14" s="9">
        <f>IF(C14="","",SUMIFS(GiaoDich!$D:$D,GiaoDich!$C:$C,A14,GiaoDich!$H:$H,C14,GiaoDich!$B:$B,"&gt;="&amp;TongQuan!$B$6,GiaoDich!$B:$B,"&lt;"&amp;TongQuan!$B$7))</f>
        <v>0</v>
      </c>
      <c r="E14" s="2" t="s">
        <v>80</v>
      </c>
      <c r="F14" s="2" t="s">
        <v>38</v>
      </c>
      <c r="G14" s="2"/>
      <c r="H14" s="2"/>
    </row>
    <row r="15" spans="1:10">
      <c r="A15" s="2" t="s">
        <v>38</v>
      </c>
      <c r="B15" s="2" t="s">
        <v>59</v>
      </c>
      <c r="C15" s="2" t="s">
        <v>81</v>
      </c>
      <c r="D15" s="9">
        <f>IF(C15="","",SUMIFS(GiaoDich!$D:$D,GiaoDich!$C:$C,A15,GiaoDich!$H:$H,C15,GiaoDich!$B:$B,"&gt;="&amp;TongQuan!$B$6,GiaoDich!$B:$B,"&lt;"&amp;TongQuan!$B$7))</f>
        <v>0</v>
      </c>
      <c r="E15" s="2" t="s">
        <v>82</v>
      </c>
      <c r="F15" s="2" t="s">
        <v>37</v>
      </c>
      <c r="G15" s="2"/>
      <c r="H15" s="2"/>
    </row>
    <row r="16" spans="1:10">
      <c r="A16" s="2" t="s">
        <v>38</v>
      </c>
      <c r="B16" s="2" t="s">
        <v>59</v>
      </c>
      <c r="C16" s="2" t="s">
        <v>83</v>
      </c>
      <c r="D16" s="9">
        <f>IF(C16="","",SUMIFS(GiaoDich!$D:$D,GiaoDich!$C:$C,A16,GiaoDich!$H:$H,C16,GiaoDich!$B:$B,"&gt;="&amp;TongQuan!$B$6,GiaoDich!$B:$B,"&lt;"&amp;TongQuan!$B$7))</f>
        <v>0</v>
      </c>
      <c r="E16" s="2" t="s">
        <v>84</v>
      </c>
      <c r="F16" s="2" t="s">
        <v>37</v>
      </c>
      <c r="G16" s="2"/>
      <c r="H16" s="2"/>
    </row>
    <row r="17" spans="1:8">
      <c r="A17" s="2" t="s">
        <v>38</v>
      </c>
      <c r="B17" s="2" t="s">
        <v>59</v>
      </c>
      <c r="C17" s="2" t="s">
        <v>85</v>
      </c>
      <c r="D17" s="9">
        <f>IF(C17="","",SUMIFS(GiaoDich!$D:$D,GiaoDich!$C:$C,A17,GiaoDich!$H:$H,C17,GiaoDich!$B:$B,"&gt;="&amp;TongQuan!$B$6,GiaoDich!$B:$B,"&lt;"&amp;TongQuan!$B$7))</f>
        <v>0</v>
      </c>
      <c r="E17" s="2" t="s">
        <v>86</v>
      </c>
      <c r="F17" s="2" t="s">
        <v>37</v>
      </c>
      <c r="G17" s="2"/>
      <c r="H17" s="2"/>
    </row>
    <row r="18" spans="1:8">
      <c r="A18" s="2" t="s">
        <v>38</v>
      </c>
      <c r="B18" s="2" t="s">
        <v>59</v>
      </c>
      <c r="C18" s="2" t="s">
        <v>87</v>
      </c>
      <c r="D18" s="9">
        <f>IF(C18="","",SUMIFS(GiaoDich!$D:$D,GiaoDich!$C:$C,A18,GiaoDich!$H:$H,C18,GiaoDich!$B:$B,"&gt;="&amp;TongQuan!$B$6,GiaoDich!$B:$B,"&lt;"&amp;TongQuan!$B$7))</f>
        <v>0</v>
      </c>
      <c r="E18" s="2" t="s">
        <v>88</v>
      </c>
      <c r="F18" s="2" t="s">
        <v>37</v>
      </c>
      <c r="G18" s="2"/>
      <c r="H18" s="2"/>
    </row>
    <row r="19" spans="1:8">
      <c r="A19" s="2" t="s">
        <v>38</v>
      </c>
      <c r="B19" s="2" t="s">
        <v>59</v>
      </c>
      <c r="C19" s="2" t="s">
        <v>89</v>
      </c>
      <c r="D19" s="9">
        <f>IF(C19="","",SUMIFS(GiaoDich!$D:$D,GiaoDich!$C:$C,A19,GiaoDich!$H:$H,C19,GiaoDich!$B:$B,"&gt;="&amp;TongQuan!$B$6,GiaoDich!$B:$B,"&lt;"&amp;TongQuan!$B$7))</f>
        <v>0</v>
      </c>
      <c r="E19" s="2" t="s">
        <v>90</v>
      </c>
      <c r="F19" s="2" t="s">
        <v>37</v>
      </c>
      <c r="G19" s="2"/>
      <c r="H19" s="2"/>
    </row>
    <row r="20" spans="1:8">
      <c r="A20" s="2" t="s">
        <v>38</v>
      </c>
      <c r="B20" s="2" t="s">
        <v>59</v>
      </c>
      <c r="C20" s="2" t="s">
        <v>91</v>
      </c>
      <c r="D20" s="9">
        <f>IF(C20="","",SUMIFS(GiaoDich!$D:$D,GiaoDich!$C:$C,A20,GiaoDich!$H:$H,C20,GiaoDich!$B:$B,"&gt;="&amp;TongQuan!$B$6,GiaoDich!$B:$B,"&lt;"&amp;TongQuan!$B$7))</f>
        <v>0</v>
      </c>
      <c r="E20" s="2" t="s">
        <v>92</v>
      </c>
      <c r="F20" s="2" t="s">
        <v>37</v>
      </c>
      <c r="G20" s="2"/>
      <c r="H20" s="2"/>
    </row>
    <row r="21" spans="1:8">
      <c r="A21" s="2" t="s">
        <v>38</v>
      </c>
      <c r="B21" s="2" t="s">
        <v>59</v>
      </c>
      <c r="C21" s="2" t="s">
        <v>93</v>
      </c>
      <c r="D21" s="9">
        <f>IF(C21="","",SUMIFS(GiaoDich!$D:$D,GiaoDich!$C:$C,A21,GiaoDich!$H:$H,C21,GiaoDich!$B:$B,"&gt;="&amp;TongQuan!$B$6,GiaoDich!$B:$B,"&lt;"&amp;TongQuan!$B$7))</f>
        <v>0</v>
      </c>
      <c r="E21" s="2"/>
      <c r="F21" s="2"/>
      <c r="G21" s="2"/>
      <c r="H21" s="2"/>
    </row>
    <row r="22" spans="1:8">
      <c r="A22" s="2" t="s">
        <v>38</v>
      </c>
      <c r="B22" s="2" t="s">
        <v>62</v>
      </c>
      <c r="C22" s="2" t="s">
        <v>94</v>
      </c>
      <c r="D22" s="9">
        <f>IF(C22="","",SUMIFS(GiaoDich!$D:$D,GiaoDich!$C:$C,A22,GiaoDich!$H:$H,C22,GiaoDich!$B:$B,"&gt;="&amp;TongQuan!$B$6,GiaoDich!$B:$B,"&lt;"&amp;TongQuan!$B$7))</f>
        <v>0</v>
      </c>
      <c r="E22" s="2"/>
      <c r="F22" s="2"/>
      <c r="G22" s="2"/>
      <c r="H22" s="2"/>
    </row>
    <row r="23" spans="1:8">
      <c r="A23" s="2" t="s">
        <v>38</v>
      </c>
      <c r="B23" s="2" t="s">
        <v>62</v>
      </c>
      <c r="C23" s="2" t="s">
        <v>95</v>
      </c>
      <c r="D23" s="9">
        <f>IF(C23="","",SUMIFS(GiaoDich!$D:$D,GiaoDich!$C:$C,A23,GiaoDich!$H:$H,C23,GiaoDich!$B:$B,"&gt;="&amp;TongQuan!$B$6,GiaoDich!$B:$B,"&lt;"&amp;TongQuan!$B$7))</f>
        <v>0</v>
      </c>
      <c r="E23" s="2"/>
      <c r="F23" s="2"/>
      <c r="G23" s="2"/>
      <c r="H23" s="2"/>
    </row>
    <row r="24" spans="1:8">
      <c r="A24" s="2" t="s">
        <v>38</v>
      </c>
      <c r="B24" s="2" t="s">
        <v>64</v>
      </c>
      <c r="C24" s="2" t="s">
        <v>96</v>
      </c>
      <c r="D24" s="9">
        <f>IF(C24="","",SUMIFS(GiaoDich!$D:$D,GiaoDich!$C:$C,A24,GiaoDich!$H:$H,C24,GiaoDich!$B:$B,"&gt;="&amp;TongQuan!$B$6,GiaoDich!$B:$B,"&lt;"&amp;TongQuan!$B$7))</f>
        <v>0</v>
      </c>
      <c r="E24" s="2"/>
      <c r="F24" s="2"/>
      <c r="G24" s="2"/>
      <c r="H24" s="2"/>
    </row>
    <row r="25" spans="1:8">
      <c r="A25" s="2" t="s">
        <v>38</v>
      </c>
      <c r="B25" s="2" t="s">
        <v>64</v>
      </c>
      <c r="C25" s="2" t="s">
        <v>97</v>
      </c>
      <c r="D25" s="9">
        <f>IF(C25="","",SUMIFS(GiaoDich!$D:$D,GiaoDich!$C:$C,A25,GiaoDich!$H:$H,C25,GiaoDich!$B:$B,"&gt;="&amp;TongQuan!$B$6,GiaoDich!$B:$B,"&lt;"&amp;TongQuan!$B$7))</f>
        <v>0</v>
      </c>
      <c r="E25" s="2"/>
      <c r="F25" s="2"/>
      <c r="G25" s="2"/>
      <c r="H25" s="2"/>
    </row>
    <row r="26" spans="1:8">
      <c r="A26" s="2" t="s">
        <v>38</v>
      </c>
      <c r="B26" s="2" t="s">
        <v>64</v>
      </c>
      <c r="C26" s="2" t="s">
        <v>98</v>
      </c>
      <c r="D26" s="9">
        <f>IF(C26="","",SUMIFS(GiaoDich!$D:$D,GiaoDich!$C:$C,A26,GiaoDich!$H:$H,C26,GiaoDich!$B:$B,"&gt;="&amp;TongQuan!$B$6,GiaoDich!$B:$B,"&lt;"&amp;TongQuan!$B$7))</f>
        <v>0</v>
      </c>
      <c r="E26" s="2"/>
      <c r="F26" s="2"/>
      <c r="G26" s="2"/>
      <c r="H26" s="2"/>
    </row>
    <row r="27" spans="1:8">
      <c r="A27" s="2" t="s">
        <v>38</v>
      </c>
      <c r="B27" s="2" t="s">
        <v>64</v>
      </c>
      <c r="C27" s="2" t="s">
        <v>99</v>
      </c>
      <c r="D27" s="9">
        <f>IF(C27="","",SUMIFS(GiaoDich!$D:$D,GiaoDich!$C:$C,A27,GiaoDich!$H:$H,C27,GiaoDich!$B:$B,"&gt;="&amp;TongQuan!$B$6,GiaoDich!$B:$B,"&lt;"&amp;TongQuan!$B$7))</f>
        <v>0</v>
      </c>
      <c r="E27" s="2"/>
      <c r="F27" s="2"/>
      <c r="G27" s="2"/>
      <c r="H27" s="2"/>
    </row>
    <row r="28" spans="1:8">
      <c r="A28" s="2" t="s">
        <v>38</v>
      </c>
      <c r="B28" s="2" t="s">
        <v>66</v>
      </c>
      <c r="C28" s="2" t="s">
        <v>100</v>
      </c>
      <c r="D28" s="9">
        <f>IF(C28="","",SUMIFS(GiaoDich!$D:$D,GiaoDich!$C:$C,A28,GiaoDich!$H:$H,C28,GiaoDich!$B:$B,"&gt;="&amp;TongQuan!$B$6,GiaoDich!$B:$B,"&lt;"&amp;TongQuan!$B$7))</f>
        <v>0</v>
      </c>
      <c r="E28" s="2"/>
      <c r="F28" s="2"/>
      <c r="G28" s="2"/>
      <c r="H28" s="2"/>
    </row>
    <row r="29" spans="1:8">
      <c r="A29" s="2" t="s">
        <v>38</v>
      </c>
      <c r="B29" s="2" t="s">
        <v>66</v>
      </c>
      <c r="C29" s="2" t="s">
        <v>101</v>
      </c>
      <c r="D29" s="9">
        <f>IF(C29="","",SUMIFS(GiaoDich!$D:$D,GiaoDich!$C:$C,A29,GiaoDich!$H:$H,C29,GiaoDich!$B:$B,"&gt;="&amp;TongQuan!$B$6,GiaoDich!$B:$B,"&lt;"&amp;TongQuan!$B$7))</f>
        <v>0</v>
      </c>
      <c r="E29" s="2"/>
      <c r="F29" s="2"/>
      <c r="G29" s="2"/>
      <c r="H29" s="2"/>
    </row>
    <row r="30" spans="1:8">
      <c r="A30" s="2" t="s">
        <v>38</v>
      </c>
      <c r="B30" s="2" t="s">
        <v>66</v>
      </c>
      <c r="C30" s="2" t="s">
        <v>102</v>
      </c>
      <c r="D30" s="9">
        <f>IF(C30="","",SUMIFS(GiaoDich!$D:$D,GiaoDich!$C:$C,A30,GiaoDich!$H:$H,C30,GiaoDich!$B:$B,"&gt;="&amp;TongQuan!$B$6,GiaoDich!$B:$B,"&lt;"&amp;TongQuan!$B$7))</f>
        <v>0</v>
      </c>
      <c r="E30" s="2"/>
      <c r="F30" s="2"/>
      <c r="G30" s="2"/>
      <c r="H30" s="2"/>
    </row>
    <row r="31" spans="1:8">
      <c r="A31" s="2" t="s">
        <v>38</v>
      </c>
      <c r="B31" s="2" t="s">
        <v>68</v>
      </c>
      <c r="C31" s="2" t="s">
        <v>103</v>
      </c>
      <c r="D31" s="9">
        <f>IF(C31="","",SUMIFS(GiaoDich!$D:$D,GiaoDich!$C:$C,A31,GiaoDich!$H:$H,C31,GiaoDich!$B:$B,"&gt;="&amp;TongQuan!$B$6,GiaoDich!$B:$B,"&lt;"&amp;TongQuan!$B$7))</f>
        <v>0</v>
      </c>
      <c r="E31" s="2"/>
      <c r="F31" s="2"/>
      <c r="G31" s="2"/>
      <c r="H31" s="2"/>
    </row>
    <row r="32" spans="1:8">
      <c r="A32" s="2" t="s">
        <v>38</v>
      </c>
      <c r="B32" s="2" t="s">
        <v>68</v>
      </c>
      <c r="C32" s="2" t="s">
        <v>104</v>
      </c>
      <c r="D32" s="9">
        <f>IF(C32="","",SUMIFS(GiaoDich!$D:$D,GiaoDich!$C:$C,A32,GiaoDich!$H:$H,C32,GiaoDich!$B:$B,"&gt;="&amp;TongQuan!$B$6,GiaoDich!$B:$B,"&lt;"&amp;TongQuan!$B$7))</f>
        <v>0</v>
      </c>
      <c r="E32" s="2"/>
      <c r="F32" s="2"/>
      <c r="G32" s="2"/>
      <c r="H32" s="2"/>
    </row>
    <row r="33" spans="1:8">
      <c r="A33" s="2" t="s">
        <v>38</v>
      </c>
      <c r="B33" s="2" t="s">
        <v>68</v>
      </c>
      <c r="C33" s="2" t="s">
        <v>105</v>
      </c>
      <c r="D33" s="9">
        <f>IF(C33="","",SUMIFS(GiaoDich!$D:$D,GiaoDich!$C:$C,A33,GiaoDich!$H:$H,C33,GiaoDich!$B:$B,"&gt;="&amp;TongQuan!$B$6,GiaoDich!$B:$B,"&lt;"&amp;TongQuan!$B$7))</f>
        <v>0</v>
      </c>
      <c r="E33" s="2"/>
      <c r="F33" s="2"/>
      <c r="G33" s="2"/>
      <c r="H33" s="2"/>
    </row>
    <row r="34" spans="1:8">
      <c r="A34" s="2" t="s">
        <v>38</v>
      </c>
      <c r="B34" s="2" t="s">
        <v>68</v>
      </c>
      <c r="C34" s="2" t="s">
        <v>106</v>
      </c>
      <c r="D34" s="9">
        <f>IF(C34="","",SUMIFS(GiaoDich!$D:$D,GiaoDich!$C:$C,A34,GiaoDich!$H:$H,C34,GiaoDich!$B:$B,"&gt;="&amp;TongQuan!$B$6,GiaoDich!$B:$B,"&lt;"&amp;TongQuan!$B$7))</f>
        <v>0</v>
      </c>
      <c r="E34" s="2"/>
      <c r="F34" s="2"/>
      <c r="G34" s="2"/>
      <c r="H34" s="2"/>
    </row>
    <row r="35" spans="1:8">
      <c r="A35" s="2" t="s">
        <v>38</v>
      </c>
      <c r="B35" s="2" t="s">
        <v>70</v>
      </c>
      <c r="C35" s="2" t="s">
        <v>107</v>
      </c>
      <c r="D35" s="9">
        <f>IF(C35="","",SUMIFS(GiaoDich!$D:$D,GiaoDich!$C:$C,A35,GiaoDich!$H:$H,C35,GiaoDich!$B:$B,"&gt;="&amp;TongQuan!$B$6,GiaoDich!$B:$B,"&lt;"&amp;TongQuan!$B$7))</f>
        <v>0</v>
      </c>
      <c r="E35" s="2"/>
      <c r="F35" s="2"/>
      <c r="G35" s="2"/>
      <c r="H35" s="2"/>
    </row>
    <row r="36" spans="1:8">
      <c r="A36" s="2" t="s">
        <v>38</v>
      </c>
      <c r="B36" s="2" t="s">
        <v>70</v>
      </c>
      <c r="C36" s="2" t="s">
        <v>108</v>
      </c>
      <c r="D36" s="9">
        <f>IF(C36="","",SUMIFS(GiaoDich!$D:$D,GiaoDich!$C:$C,A36,GiaoDich!$H:$H,C36,GiaoDich!$B:$B,"&gt;="&amp;TongQuan!$B$6,GiaoDich!$B:$B,"&lt;"&amp;TongQuan!$B$7))</f>
        <v>0</v>
      </c>
      <c r="E36" s="2"/>
      <c r="F36" s="2"/>
      <c r="G36" s="2"/>
      <c r="H36" s="2"/>
    </row>
    <row r="37" spans="1:8">
      <c r="A37" s="2" t="s">
        <v>38</v>
      </c>
      <c r="B37" s="2" t="s">
        <v>70</v>
      </c>
      <c r="C37" s="2" t="s">
        <v>109</v>
      </c>
      <c r="D37" s="9">
        <f>IF(C37="","",SUMIFS(GiaoDich!$D:$D,GiaoDich!$C:$C,A37,GiaoDich!$H:$H,C37,GiaoDich!$B:$B,"&gt;="&amp;TongQuan!$B$6,GiaoDich!$B:$B,"&lt;"&amp;TongQuan!$B$7))</f>
        <v>0</v>
      </c>
      <c r="E37" s="2"/>
      <c r="F37" s="2"/>
      <c r="G37" s="2"/>
      <c r="H37" s="2"/>
    </row>
    <row r="38" spans="1:8">
      <c r="A38" s="2" t="s">
        <v>38</v>
      </c>
      <c r="B38" s="2" t="s">
        <v>70</v>
      </c>
      <c r="C38" s="2" t="s">
        <v>110</v>
      </c>
      <c r="D38" s="9">
        <f>IF(C38="","",SUMIFS(GiaoDich!$D:$D,GiaoDich!$C:$C,A38,GiaoDich!$H:$H,C38,GiaoDich!$B:$B,"&gt;="&amp;TongQuan!$B$6,GiaoDich!$B:$B,"&lt;"&amp;TongQuan!$B$7))</f>
        <v>0</v>
      </c>
      <c r="E38" s="2"/>
      <c r="F38" s="2"/>
      <c r="G38" s="2"/>
      <c r="H38" s="2"/>
    </row>
    <row r="39" spans="1:8">
      <c r="A39" s="2" t="s">
        <v>38</v>
      </c>
      <c r="B39" s="2" t="s">
        <v>72</v>
      </c>
      <c r="C39" s="2" t="s">
        <v>111</v>
      </c>
      <c r="D39" s="9">
        <f>IF(C39="","",SUMIFS(GiaoDich!$D:$D,GiaoDich!$C:$C,A39,GiaoDich!$H:$H,C39,GiaoDich!$B:$B,"&gt;="&amp;TongQuan!$B$6,GiaoDich!$B:$B,"&lt;"&amp;TongQuan!$B$7))</f>
        <v>0</v>
      </c>
      <c r="E39" s="2"/>
      <c r="F39" s="2"/>
      <c r="G39" s="2"/>
      <c r="H39" s="2"/>
    </row>
    <row r="40" spans="1:8">
      <c r="A40" s="2" t="s">
        <v>38</v>
      </c>
      <c r="B40" s="2" t="s">
        <v>72</v>
      </c>
      <c r="C40" s="2" t="s">
        <v>112</v>
      </c>
      <c r="D40" s="9">
        <f>IF(C40="","",SUMIFS(GiaoDich!$D:$D,GiaoDich!$C:$C,A40,GiaoDich!$H:$H,C40,GiaoDich!$B:$B,"&gt;="&amp;TongQuan!$B$6,GiaoDich!$B:$B,"&lt;"&amp;TongQuan!$B$7))</f>
        <v>0</v>
      </c>
      <c r="E40" s="2"/>
      <c r="F40" s="2"/>
      <c r="G40" s="2"/>
      <c r="H40" s="2"/>
    </row>
    <row r="41" spans="1:8">
      <c r="A41" s="2" t="s">
        <v>38</v>
      </c>
      <c r="B41" s="2" t="s">
        <v>72</v>
      </c>
      <c r="C41" s="2" t="s">
        <v>113</v>
      </c>
      <c r="D41" s="9">
        <f>IF(C41="","",SUMIFS(GiaoDich!$D:$D,GiaoDich!$C:$C,A41,GiaoDich!$H:$H,C41,GiaoDich!$B:$B,"&gt;="&amp;TongQuan!$B$6,GiaoDich!$B:$B,"&lt;"&amp;TongQuan!$B$7))</f>
        <v>0</v>
      </c>
      <c r="E41" s="2"/>
      <c r="F41" s="2"/>
      <c r="G41" s="2"/>
      <c r="H41" s="2"/>
    </row>
    <row r="42" spans="1:8">
      <c r="A42" s="2" t="s">
        <v>38</v>
      </c>
      <c r="B42" s="2" t="s">
        <v>74</v>
      </c>
      <c r="C42" s="2" t="s">
        <v>114</v>
      </c>
      <c r="D42" s="9">
        <f>IF(C42="","",SUMIFS(GiaoDich!$D:$D,GiaoDich!$C:$C,A42,GiaoDich!$H:$H,C42,GiaoDich!$B:$B,"&gt;="&amp;TongQuan!$B$6,GiaoDich!$B:$B,"&lt;"&amp;TongQuan!$B$7))</f>
        <v>0</v>
      </c>
      <c r="E42" s="2"/>
      <c r="F42" s="2"/>
      <c r="G42" s="2"/>
      <c r="H42" s="2"/>
    </row>
    <row r="43" spans="1:8">
      <c r="A43" s="2" t="s">
        <v>38</v>
      </c>
      <c r="B43" s="2" t="s">
        <v>74</v>
      </c>
      <c r="C43" s="2" t="s">
        <v>115</v>
      </c>
      <c r="D43" s="9">
        <f>IF(C43="","",SUMIFS(GiaoDich!$D:$D,GiaoDich!$C:$C,A43,GiaoDich!$H:$H,C43,GiaoDich!$B:$B,"&gt;="&amp;TongQuan!$B$6,GiaoDich!$B:$B,"&lt;"&amp;TongQuan!$B$7))</f>
        <v>0</v>
      </c>
      <c r="E43" s="2"/>
      <c r="F43" s="2"/>
      <c r="G43" s="2"/>
      <c r="H43" s="2"/>
    </row>
    <row r="44" spans="1:8">
      <c r="A44" s="2" t="s">
        <v>38</v>
      </c>
      <c r="B44" s="2" t="s">
        <v>76</v>
      </c>
      <c r="C44" s="2" t="s">
        <v>116</v>
      </c>
      <c r="D44" s="9">
        <f>IF(C44="","",SUMIFS(GiaoDich!$D:$D,GiaoDich!$C:$C,A44,GiaoDich!$H:$H,C44,GiaoDich!$B:$B,"&gt;="&amp;TongQuan!$B$6,GiaoDich!$B:$B,"&lt;"&amp;TongQuan!$B$7))</f>
        <v>0</v>
      </c>
      <c r="E44" s="2"/>
      <c r="F44" s="2"/>
      <c r="G44" s="2"/>
      <c r="H44" s="2"/>
    </row>
    <row r="45" spans="1:8">
      <c r="A45" s="2" t="s">
        <v>38</v>
      </c>
      <c r="B45" s="2" t="s">
        <v>76</v>
      </c>
      <c r="C45" s="2" t="s">
        <v>117</v>
      </c>
      <c r="D45" s="9">
        <f>IF(C45="","",SUMIFS(GiaoDich!$D:$D,GiaoDich!$C:$C,A45,GiaoDich!$H:$H,C45,GiaoDich!$B:$B,"&gt;="&amp;TongQuan!$B$6,GiaoDich!$B:$B,"&lt;"&amp;TongQuan!$B$7))</f>
        <v>0</v>
      </c>
      <c r="E45" s="2"/>
      <c r="F45" s="2"/>
      <c r="G45" s="2"/>
      <c r="H45" s="2"/>
    </row>
    <row r="46" spans="1:8">
      <c r="A46" s="2" t="s">
        <v>38</v>
      </c>
      <c r="B46" s="2" t="s">
        <v>76</v>
      </c>
      <c r="C46" s="2" t="s">
        <v>118</v>
      </c>
      <c r="D46" s="9">
        <f>IF(C46="","",SUMIFS(GiaoDich!$D:$D,GiaoDich!$C:$C,A46,GiaoDich!$H:$H,C46,GiaoDich!$B:$B,"&gt;="&amp;TongQuan!$B$6,GiaoDich!$B:$B,"&lt;"&amp;TongQuan!$B$7))</f>
        <v>0</v>
      </c>
      <c r="E46" s="2"/>
      <c r="F46" s="2"/>
      <c r="G46" s="2"/>
      <c r="H46" s="2"/>
    </row>
    <row r="47" spans="1:8">
      <c r="A47" s="2" t="s">
        <v>38</v>
      </c>
      <c r="B47" s="2" t="s">
        <v>78</v>
      </c>
      <c r="C47" s="2" t="s">
        <v>119</v>
      </c>
      <c r="D47" s="9">
        <f>IF(C47="","",SUMIFS(GiaoDich!$D:$D,GiaoDich!$C:$C,A47,GiaoDich!$H:$H,C47,GiaoDich!$B:$B,"&gt;="&amp;TongQuan!$B$6,GiaoDich!$B:$B,"&lt;"&amp;TongQuan!$B$7))</f>
        <v>0</v>
      </c>
      <c r="E47" s="2"/>
      <c r="F47" s="2"/>
      <c r="G47" s="2"/>
      <c r="H47" s="2"/>
    </row>
    <row r="48" spans="1:8">
      <c r="A48" s="2" t="s">
        <v>38</v>
      </c>
      <c r="B48" s="2" t="s">
        <v>78</v>
      </c>
      <c r="C48" s="2" t="s">
        <v>120</v>
      </c>
      <c r="D48" s="9">
        <f>IF(C48="","",SUMIFS(GiaoDich!$D:$D,GiaoDich!$C:$C,A48,GiaoDich!$H:$H,C48,GiaoDich!$B:$B,"&gt;="&amp;TongQuan!$B$6,GiaoDich!$B:$B,"&lt;"&amp;TongQuan!$B$7))</f>
        <v>0</v>
      </c>
      <c r="E48" s="2"/>
      <c r="F48" s="2"/>
      <c r="G48" s="2"/>
      <c r="H48" s="2"/>
    </row>
    <row r="49" spans="1:8">
      <c r="A49" s="2" t="s">
        <v>38</v>
      </c>
      <c r="B49" s="2" t="s">
        <v>80</v>
      </c>
      <c r="C49" s="2" t="s">
        <v>121</v>
      </c>
      <c r="D49" s="9">
        <f>IF(C49="","",SUMIFS(GiaoDich!$D:$D,GiaoDich!$C:$C,A49,GiaoDich!$H:$H,C49,GiaoDich!$B:$B,"&gt;="&amp;TongQuan!$B$6,GiaoDich!$B:$B,"&lt;"&amp;TongQuan!$B$7))</f>
        <v>0</v>
      </c>
      <c r="E49" s="2"/>
      <c r="F49" s="2"/>
      <c r="G49" s="2"/>
      <c r="H49" s="2"/>
    </row>
    <row r="50" spans="1:8">
      <c r="A50" s="2" t="s">
        <v>37</v>
      </c>
      <c r="B50" s="2" t="s">
        <v>82</v>
      </c>
      <c r="C50" s="2" t="s">
        <v>122</v>
      </c>
      <c r="D50" s="9">
        <f>IF(C50="","",SUMIFS(GiaoDich!$D:$D,GiaoDich!$C:$C,A50,GiaoDich!$H:$H,C50,GiaoDich!$B:$B,"&gt;="&amp;TongQuan!$B$6,GiaoDich!$B:$B,"&lt;"&amp;TongQuan!$B$7))</f>
        <v>0</v>
      </c>
      <c r="E50" s="2"/>
      <c r="F50" s="2"/>
      <c r="G50" s="2"/>
      <c r="H50" s="2"/>
    </row>
    <row r="51" spans="1:8">
      <c r="A51" s="2" t="s">
        <v>37</v>
      </c>
      <c r="B51" s="2" t="s">
        <v>84</v>
      </c>
      <c r="C51" s="2" t="s">
        <v>123</v>
      </c>
      <c r="D51" s="9">
        <f>IF(C51="","",SUMIFS(GiaoDich!$D:$D,GiaoDich!$C:$C,A51,GiaoDich!$H:$H,C51,GiaoDich!$B:$B,"&gt;="&amp;TongQuan!$B$6,GiaoDich!$B:$B,"&lt;"&amp;TongQuan!$B$7))</f>
        <v>0</v>
      </c>
      <c r="E51" s="2"/>
      <c r="F51" s="2"/>
      <c r="G51" s="2"/>
      <c r="H51" s="2"/>
    </row>
    <row r="52" spans="1:8">
      <c r="A52" s="2" t="s">
        <v>37</v>
      </c>
      <c r="B52" s="2" t="s">
        <v>86</v>
      </c>
      <c r="C52" s="2" t="s">
        <v>124</v>
      </c>
      <c r="D52" s="9">
        <f>IF(C52="","",SUMIFS(GiaoDich!$D:$D,GiaoDich!$C:$C,A52,GiaoDich!$H:$H,C52,GiaoDich!$B:$B,"&gt;="&amp;TongQuan!$B$6,GiaoDich!$B:$B,"&lt;"&amp;TongQuan!$B$7))</f>
        <v>0</v>
      </c>
      <c r="E52" s="2"/>
      <c r="F52" s="2"/>
      <c r="G52" s="2"/>
      <c r="H52" s="2"/>
    </row>
    <row r="53" spans="1:8">
      <c r="A53" s="2" t="s">
        <v>37</v>
      </c>
      <c r="B53" s="2" t="s">
        <v>88</v>
      </c>
      <c r="C53" s="2" t="s">
        <v>125</v>
      </c>
      <c r="D53" s="9">
        <f>IF(C53="","",SUMIFS(GiaoDich!$D:$D,GiaoDich!$C:$C,A53,GiaoDich!$H:$H,C53,GiaoDich!$B:$B,"&gt;="&amp;TongQuan!$B$6,GiaoDich!$B:$B,"&lt;"&amp;TongQuan!$B$7))</f>
        <v>0</v>
      </c>
      <c r="E53" s="2"/>
      <c r="F53" s="2"/>
      <c r="G53" s="2"/>
      <c r="H53" s="2"/>
    </row>
    <row r="54" spans="1:8">
      <c r="A54" s="2" t="s">
        <v>37</v>
      </c>
      <c r="B54" s="2" t="s">
        <v>88</v>
      </c>
      <c r="C54" s="2" t="s">
        <v>126</v>
      </c>
      <c r="D54" s="9">
        <f>IF(C54="","",SUMIFS(GiaoDich!$D:$D,GiaoDich!$C:$C,A54,GiaoDich!$H:$H,C54,GiaoDich!$B:$B,"&gt;="&amp;TongQuan!$B$6,GiaoDich!$B:$B,"&lt;"&amp;TongQuan!$B$7))</f>
        <v>0</v>
      </c>
      <c r="E54" s="2"/>
      <c r="F54" s="2"/>
      <c r="G54" s="2"/>
      <c r="H54" s="2"/>
    </row>
    <row r="55" spans="1:8">
      <c r="A55" s="2" t="s">
        <v>37</v>
      </c>
      <c r="B55" s="2" t="s">
        <v>90</v>
      </c>
      <c r="C55" s="2" t="s">
        <v>127</v>
      </c>
      <c r="D55" s="9">
        <f>IF(C55="","",SUMIFS(GiaoDich!$D:$D,GiaoDich!$C:$C,A55,GiaoDich!$H:$H,C55,GiaoDich!$B:$B,"&gt;="&amp;TongQuan!$B$6,GiaoDich!$B:$B,"&lt;"&amp;TongQuan!$B$7))</f>
        <v>0</v>
      </c>
      <c r="E55" s="2"/>
      <c r="F55" s="2"/>
      <c r="G55" s="2"/>
      <c r="H55" s="2"/>
    </row>
    <row r="56" spans="1:8">
      <c r="A56" s="2" t="s">
        <v>37</v>
      </c>
      <c r="B56" s="2" t="s">
        <v>92</v>
      </c>
      <c r="C56" s="2" t="s">
        <v>128</v>
      </c>
      <c r="D56" s="9">
        <f>IF(C56="","",SUMIFS(GiaoDich!$D:$D,GiaoDich!$C:$C,A56,GiaoDich!$H:$H,C56,GiaoDich!$B:$B,"&gt;="&amp;TongQuan!$B$6,GiaoDich!$B:$B,"&lt;"&amp;TongQuan!$B$7))</f>
        <v>0</v>
      </c>
      <c r="E56" s="2"/>
      <c r="F56" s="2"/>
      <c r="G56" s="2"/>
      <c r="H56" s="2"/>
    </row>
    <row r="57" spans="1:8">
      <c r="A57" s="2" t="s">
        <v>37</v>
      </c>
      <c r="B57" s="2" t="s">
        <v>92</v>
      </c>
      <c r="C57" s="2" t="s">
        <v>92</v>
      </c>
      <c r="D57" s="9">
        <f>IF(C57="","",SUMIFS(GiaoDich!$D:$D,GiaoDich!$C:$C,A57,GiaoDich!$H:$H,C57,GiaoDich!$B:$B,"&gt;="&amp;TongQuan!$B$6,GiaoDich!$B:$B,"&lt;"&amp;TongQuan!$B$7))</f>
        <v>0</v>
      </c>
      <c r="E57" s="2"/>
      <c r="F57" s="2"/>
      <c r="G57" s="2"/>
      <c r="H57" s="2"/>
    </row>
    <row r="58" spans="1:8">
      <c r="A58" s="2"/>
      <c r="B58" s="2"/>
      <c r="C58" s="2"/>
      <c r="D58" s="9" t="str">
        <f>IF(C58="","",SUMIFS(GiaoDich!$D:$D,GiaoDich!$C:$C,A58,GiaoDich!$H:$H,C58,GiaoDich!$B:$B,"&gt;="&amp;TongQuan!$B$6,GiaoDich!$B:$B,"&lt;"&amp;TongQuan!$B$7))</f>
        <v/>
      </c>
      <c r="E58" s="2"/>
      <c r="F58" s="2"/>
      <c r="G58" s="2"/>
      <c r="H58" s="2"/>
    </row>
    <row r="59" spans="1:8">
      <c r="A59" s="2"/>
      <c r="B59" s="2"/>
      <c r="C59" s="2"/>
      <c r="D59" s="9" t="str">
        <f>IF(C59="","",SUMIFS(GiaoDich!$D:$D,GiaoDich!$C:$C,A59,GiaoDich!$H:$H,C59,GiaoDich!$B:$B,"&gt;="&amp;TongQuan!$B$6,GiaoDich!$B:$B,"&lt;"&amp;TongQuan!$B$7))</f>
        <v/>
      </c>
      <c r="E59" s="2"/>
      <c r="F59" s="2"/>
      <c r="G59" s="2"/>
      <c r="H59" s="2"/>
    </row>
    <row r="60" spans="1:8">
      <c r="A60" s="2"/>
      <c r="B60" s="2"/>
      <c r="C60" s="2"/>
      <c r="D60" s="9" t="str">
        <f>IF(C60="","",SUMIFS(GiaoDich!$D:$D,GiaoDich!$C:$C,A60,GiaoDich!$H:$H,C60,GiaoDich!$B:$B,"&gt;="&amp;TongQuan!$B$6,GiaoDich!$B:$B,"&lt;"&amp;TongQuan!$B$7))</f>
        <v/>
      </c>
      <c r="E60" s="2"/>
      <c r="F60" s="2"/>
      <c r="G60" s="2"/>
      <c r="H60" s="2"/>
    </row>
    <row r="61" spans="1:8">
      <c r="A61" s="2"/>
      <c r="B61" s="2"/>
      <c r="C61" s="2"/>
      <c r="D61" s="9" t="str">
        <f>IF(C61="","",SUMIFS(GiaoDich!$D:$D,GiaoDich!$C:$C,A61,GiaoDich!$H:$H,C61,GiaoDich!$B:$B,"&gt;="&amp;TongQuan!$B$6,GiaoDich!$B:$B,"&lt;"&amp;TongQuan!$B$7))</f>
        <v/>
      </c>
      <c r="E61" s="2"/>
      <c r="F61" s="2"/>
      <c r="G61" s="2"/>
      <c r="H61" s="2"/>
    </row>
    <row r="62" spans="1:8">
      <c r="A62" s="2"/>
      <c r="B62" s="2"/>
      <c r="C62" s="2"/>
      <c r="D62" s="9" t="str">
        <f>IF(C62="","",SUMIFS(GiaoDich!$D:$D,GiaoDich!$C:$C,A62,GiaoDich!$H:$H,C62,GiaoDich!$B:$B,"&gt;="&amp;TongQuan!$B$6,GiaoDich!$B:$B,"&lt;"&amp;TongQuan!$B$7))</f>
        <v/>
      </c>
      <c r="E62" s="2"/>
      <c r="F62" s="2"/>
      <c r="G62" s="2"/>
      <c r="H62" s="2"/>
    </row>
    <row r="63" spans="1:8">
      <c r="A63" s="2"/>
      <c r="B63" s="2"/>
      <c r="C63" s="2"/>
      <c r="D63" s="9" t="str">
        <f>IF(C63="","",SUMIFS(GiaoDich!$D:$D,GiaoDich!$C:$C,A63,GiaoDich!$H:$H,C63,GiaoDich!$B:$B,"&gt;="&amp;TongQuan!$B$6,GiaoDich!$B:$B,"&lt;"&amp;TongQuan!$B$7))</f>
        <v/>
      </c>
      <c r="E63" s="2"/>
      <c r="F63" s="2"/>
      <c r="G63" s="2"/>
      <c r="H63" s="2"/>
    </row>
    <row r="64" spans="1:8">
      <c r="A64" s="2"/>
      <c r="B64" s="2"/>
      <c r="C64" s="2"/>
      <c r="D64" s="9" t="str">
        <f>IF(C64="","",SUMIFS(GiaoDich!$D:$D,GiaoDich!$C:$C,A64,GiaoDich!$H:$H,C64,GiaoDich!$B:$B,"&gt;="&amp;TongQuan!$B$6,GiaoDich!$B:$B,"&lt;"&amp;TongQuan!$B$7))</f>
        <v/>
      </c>
      <c r="E64" s="2"/>
      <c r="F64" s="2"/>
      <c r="G64" s="2"/>
      <c r="H64" s="2"/>
    </row>
    <row r="65" spans="1:8">
      <c r="A65" s="2"/>
      <c r="B65" s="2"/>
      <c r="C65" s="2"/>
      <c r="D65" s="9" t="str">
        <f>IF(C65="","",SUMIFS(GiaoDich!$D:$D,GiaoDich!$C:$C,A65,GiaoDich!$H:$H,C65,GiaoDich!$B:$B,"&gt;="&amp;TongQuan!$B$6,GiaoDich!$B:$B,"&lt;"&amp;TongQuan!$B$7))</f>
        <v/>
      </c>
      <c r="E65" s="2"/>
      <c r="F65" s="2"/>
      <c r="G65" s="2"/>
      <c r="H65" s="2"/>
    </row>
    <row r="66" spans="1:8">
      <c r="A66" s="2"/>
      <c r="B66" s="2"/>
      <c r="C66" s="2"/>
      <c r="D66" s="9" t="str">
        <f>IF(C66="","",SUMIFS(GiaoDich!$D:$D,GiaoDich!$C:$C,A66,GiaoDich!$H:$H,C66,GiaoDich!$B:$B,"&gt;="&amp;TongQuan!$B$6,GiaoDich!$B:$B,"&lt;"&amp;TongQuan!$B$7))</f>
        <v/>
      </c>
      <c r="E66" s="2"/>
      <c r="F66" s="2"/>
      <c r="G66" s="2"/>
      <c r="H66" s="2"/>
    </row>
    <row r="67" spans="1:8">
      <c r="A67" s="2"/>
      <c r="B67" s="2"/>
      <c r="C67" s="2"/>
      <c r="D67" s="9" t="str">
        <f>IF(C67="","",SUMIFS(GiaoDich!$D:$D,GiaoDich!$C:$C,A67,GiaoDich!$H:$H,C67,GiaoDich!$B:$B,"&gt;="&amp;TongQuan!$B$6,GiaoDich!$B:$B,"&lt;"&amp;TongQuan!$B$7))</f>
        <v/>
      </c>
      <c r="E67" s="2"/>
      <c r="F67" s="2"/>
      <c r="G67" s="2"/>
      <c r="H67" s="2"/>
    </row>
    <row r="68" spans="1:8">
      <c r="A68" s="2"/>
      <c r="B68" s="2"/>
      <c r="C68" s="2"/>
      <c r="D68" s="9" t="str">
        <f>IF(C68="","",SUMIFS(GiaoDich!$D:$D,GiaoDich!$C:$C,A68,GiaoDich!$H:$H,C68,GiaoDich!$B:$B,"&gt;="&amp;TongQuan!$B$6,GiaoDich!$B:$B,"&lt;"&amp;TongQuan!$B$7))</f>
        <v/>
      </c>
      <c r="E68" s="2"/>
      <c r="F68" s="2"/>
      <c r="G68" s="2"/>
      <c r="H68" s="2"/>
    </row>
    <row r="69" spans="1:8">
      <c r="A69" s="2"/>
      <c r="B69" s="2"/>
      <c r="C69" s="2"/>
      <c r="D69" s="9" t="str">
        <f>IF(C69="","",SUMIFS(GiaoDich!$D:$D,GiaoDich!$C:$C,A69,GiaoDich!$H:$H,C69,GiaoDich!$B:$B,"&gt;="&amp;TongQuan!$B$6,GiaoDich!$B:$B,"&lt;"&amp;TongQuan!$B$7))</f>
        <v/>
      </c>
      <c r="E69" s="2"/>
      <c r="F69" s="2"/>
      <c r="G69" s="2"/>
      <c r="H69" s="2"/>
    </row>
    <row r="70" spans="1:8">
      <c r="A70" s="2"/>
      <c r="B70" s="2"/>
      <c r="C70" s="2"/>
      <c r="D70" s="9" t="str">
        <f>IF(C70="","",SUMIFS(GiaoDich!$D:$D,GiaoDich!$C:$C,A70,GiaoDich!$H:$H,C70,GiaoDich!$B:$B,"&gt;="&amp;TongQuan!$B$6,GiaoDich!$B:$B,"&lt;"&amp;TongQuan!$B$7))</f>
        <v/>
      </c>
      <c r="E70" s="2"/>
      <c r="F70" s="2"/>
      <c r="G70" s="2"/>
      <c r="H70" s="2"/>
    </row>
    <row r="71" spans="1:8">
      <c r="A71" s="2"/>
      <c r="B71" s="2"/>
      <c r="C71" s="2"/>
      <c r="D71" s="9" t="str">
        <f>IF(C71="","",SUMIFS(GiaoDich!$D:$D,GiaoDich!$C:$C,A71,GiaoDich!$H:$H,C71,GiaoDich!$B:$B,"&gt;="&amp;TongQuan!$B$6,GiaoDich!$B:$B,"&lt;"&amp;TongQuan!$B$7))</f>
        <v/>
      </c>
      <c r="E71" s="2"/>
      <c r="F71" s="2"/>
      <c r="G71" s="2"/>
      <c r="H71" s="2"/>
    </row>
    <row r="72" spans="1:8">
      <c r="A72" s="2"/>
      <c r="B72" s="2"/>
      <c r="C72" s="2"/>
      <c r="D72" s="9" t="str">
        <f>IF(C72="","",SUMIFS(GiaoDich!$D:$D,GiaoDich!$C:$C,A72,GiaoDich!$H:$H,C72,GiaoDich!$B:$B,"&gt;="&amp;TongQuan!$B$6,GiaoDich!$B:$B,"&lt;"&amp;TongQuan!$B$7))</f>
        <v/>
      </c>
      <c r="E72" s="2"/>
      <c r="F72" s="2"/>
      <c r="G72" s="2"/>
      <c r="H72" s="2"/>
    </row>
    <row r="73" spans="1:8">
      <c r="A73" s="2"/>
      <c r="B73" s="2"/>
      <c r="C73" s="2"/>
      <c r="D73" s="9" t="str">
        <f>IF(C73="","",SUMIFS(GiaoDich!$D:$D,GiaoDich!$C:$C,A73,GiaoDich!$H:$H,C73,GiaoDich!$B:$B,"&gt;="&amp;TongQuan!$B$6,GiaoDich!$B:$B,"&lt;"&amp;TongQuan!$B$7))</f>
        <v/>
      </c>
      <c r="E73" s="2"/>
      <c r="F73" s="2"/>
      <c r="G73" s="2"/>
      <c r="H73" s="2"/>
    </row>
    <row r="74" spans="1:8">
      <c r="A74" s="2"/>
      <c r="B74" s="2"/>
      <c r="C74" s="2"/>
      <c r="D74" s="9" t="str">
        <f>IF(C74="","",SUMIFS(GiaoDich!$D:$D,GiaoDich!$C:$C,A74,GiaoDich!$H:$H,C74,GiaoDich!$B:$B,"&gt;="&amp;TongQuan!$B$6,GiaoDich!$B:$B,"&lt;"&amp;TongQuan!$B$7))</f>
        <v/>
      </c>
      <c r="E74" s="2"/>
      <c r="F74" s="2"/>
      <c r="G74" s="2"/>
      <c r="H74" s="2"/>
    </row>
    <row r="75" spans="1:8">
      <c r="A75" s="2"/>
      <c r="B75" s="2"/>
      <c r="C75" s="2"/>
      <c r="D75" s="9" t="str">
        <f>IF(C75="","",SUMIFS(GiaoDich!$D:$D,GiaoDich!$C:$C,A75,GiaoDich!$H:$H,C75,GiaoDich!$B:$B,"&gt;="&amp;TongQuan!$B$6,GiaoDich!$B:$B,"&lt;"&amp;TongQuan!$B$7))</f>
        <v/>
      </c>
      <c r="E75" s="2"/>
      <c r="F75" s="2"/>
      <c r="G75" s="2"/>
      <c r="H75" s="2"/>
    </row>
    <row r="76" spans="1:8">
      <c r="A76" s="2"/>
      <c r="B76" s="2"/>
      <c r="C76" s="2"/>
      <c r="D76" s="9" t="str">
        <f>IF(C76="","",SUMIFS(GiaoDich!$D:$D,GiaoDich!$C:$C,A76,GiaoDich!$H:$H,C76,GiaoDich!$B:$B,"&gt;="&amp;TongQuan!$B$6,GiaoDich!$B:$B,"&lt;"&amp;TongQuan!$B$7))</f>
        <v/>
      </c>
      <c r="E76" s="2"/>
      <c r="F76" s="2"/>
      <c r="G76" s="2"/>
      <c r="H76" s="2"/>
    </row>
    <row r="77" spans="1:8">
      <c r="A77" s="2"/>
      <c r="B77" s="2"/>
      <c r="C77" s="2"/>
      <c r="D77" s="9" t="str">
        <f>IF(C77="","",SUMIFS(GiaoDich!$D:$D,GiaoDich!$C:$C,A77,GiaoDich!$H:$H,C77,GiaoDich!$B:$B,"&gt;="&amp;TongQuan!$B$6,GiaoDich!$B:$B,"&lt;"&amp;TongQuan!$B$7))</f>
        <v/>
      </c>
      <c r="E77" s="2"/>
      <c r="F77" s="2"/>
      <c r="G77" s="2"/>
      <c r="H77" s="2"/>
    </row>
    <row r="78" spans="1:8">
      <c r="A78" s="2"/>
      <c r="B78" s="2"/>
      <c r="C78" s="2"/>
      <c r="D78" s="9" t="str">
        <f>IF(C78="","",SUMIFS(GiaoDich!$D:$D,GiaoDich!$C:$C,A78,GiaoDich!$H:$H,C78,GiaoDich!$B:$B,"&gt;="&amp;TongQuan!$B$6,GiaoDich!$B:$B,"&lt;"&amp;TongQuan!$B$7))</f>
        <v/>
      </c>
      <c r="E78" s="2"/>
      <c r="F78" s="2"/>
      <c r="G78" s="2"/>
      <c r="H78" s="2"/>
    </row>
    <row r="79" spans="1:8">
      <c r="A79" s="2"/>
      <c r="B79" s="2"/>
      <c r="C79" s="2"/>
      <c r="D79" s="9" t="str">
        <f>IF(C79="","",SUMIFS(GiaoDich!$D:$D,GiaoDich!$C:$C,A79,GiaoDich!$H:$H,C79,GiaoDich!$B:$B,"&gt;="&amp;TongQuan!$B$6,GiaoDich!$B:$B,"&lt;"&amp;TongQuan!$B$7))</f>
        <v/>
      </c>
      <c r="E79" s="2"/>
      <c r="F79" s="2"/>
      <c r="G79" s="2"/>
      <c r="H79" s="2"/>
    </row>
    <row r="80" spans="1:8">
      <c r="A80" s="2"/>
      <c r="B80" s="2"/>
      <c r="C80" s="2"/>
      <c r="D80" s="9" t="str">
        <f>IF(C80="","",SUMIFS(GiaoDich!$D:$D,GiaoDich!$C:$C,A80,GiaoDich!$H:$H,C80,GiaoDich!$B:$B,"&gt;="&amp;TongQuan!$B$6,GiaoDich!$B:$B,"&lt;"&amp;TongQuan!$B$7))</f>
        <v/>
      </c>
      <c r="E80" s="2"/>
      <c r="F80" s="2"/>
      <c r="G80" s="2"/>
      <c r="H80" s="2"/>
    </row>
    <row r="81" spans="1:8">
      <c r="A81" s="2"/>
      <c r="B81" s="2"/>
      <c r="C81" s="2"/>
      <c r="D81" s="9" t="str">
        <f>IF(C81="","",SUMIFS(GiaoDich!$D:$D,GiaoDich!$C:$C,A81,GiaoDich!$H:$H,C81,GiaoDich!$B:$B,"&gt;="&amp;TongQuan!$B$6,GiaoDich!$B:$B,"&lt;"&amp;TongQuan!$B$7))</f>
        <v/>
      </c>
      <c r="E81" s="2"/>
      <c r="F81" s="2"/>
      <c r="G81" s="2"/>
      <c r="H81" s="2"/>
    </row>
    <row r="82" spans="1:8">
      <c r="A82" s="2"/>
      <c r="B82" s="2"/>
      <c r="C82" s="2"/>
      <c r="D82" s="9" t="str">
        <f>IF(C82="","",SUMIFS(GiaoDich!$D:$D,GiaoDich!$C:$C,A82,GiaoDich!$H:$H,C82,GiaoDich!$B:$B,"&gt;="&amp;TongQuan!$B$6,GiaoDich!$B:$B,"&lt;"&amp;TongQuan!$B$7))</f>
        <v/>
      </c>
      <c r="E82" s="2"/>
      <c r="F82" s="2"/>
      <c r="G82" s="2"/>
      <c r="H82" s="2"/>
    </row>
    <row r="83" spans="1:8">
      <c r="A83" s="2"/>
      <c r="B83" s="2"/>
      <c r="C83" s="2"/>
      <c r="D83" s="9" t="str">
        <f>IF(C83="","",SUMIFS(GiaoDich!$D:$D,GiaoDich!$C:$C,A83,GiaoDich!$H:$H,C83,GiaoDich!$B:$B,"&gt;="&amp;TongQuan!$B$6,GiaoDich!$B:$B,"&lt;"&amp;TongQuan!$B$7))</f>
        <v/>
      </c>
      <c r="E83" s="2"/>
      <c r="F83" s="2"/>
      <c r="G83" s="2"/>
      <c r="H83" s="2"/>
    </row>
    <row r="84" spans="1:8">
      <c r="A84" s="2"/>
      <c r="B84" s="2"/>
      <c r="C84" s="2"/>
      <c r="D84" s="9" t="str">
        <f>IF(C84="","",SUMIFS(GiaoDich!$D:$D,GiaoDich!$C:$C,A84,GiaoDich!$H:$H,C84,GiaoDich!$B:$B,"&gt;="&amp;TongQuan!$B$6,GiaoDich!$B:$B,"&lt;"&amp;TongQuan!$B$7))</f>
        <v/>
      </c>
      <c r="E84" s="2"/>
      <c r="F84" s="2"/>
      <c r="G84" s="2"/>
      <c r="H84" s="2"/>
    </row>
    <row r="85" spans="1:8">
      <c r="A85" s="2"/>
      <c r="B85" s="2"/>
      <c r="C85" s="2"/>
      <c r="D85" s="9" t="str">
        <f>IF(C85="","",SUMIFS(GiaoDich!$D:$D,GiaoDich!$C:$C,A85,GiaoDich!$H:$H,C85,GiaoDich!$B:$B,"&gt;="&amp;TongQuan!$B$6,GiaoDich!$B:$B,"&lt;"&amp;TongQuan!$B$7))</f>
        <v/>
      </c>
      <c r="E85" s="2"/>
      <c r="F85" s="2"/>
      <c r="G85" s="2"/>
      <c r="H85" s="2"/>
    </row>
    <row r="86" spans="1:8">
      <c r="A86" s="2"/>
      <c r="B86" s="2"/>
      <c r="C86" s="2"/>
      <c r="D86" s="9" t="str">
        <f>IF(C86="","",SUMIFS(GiaoDich!$D:$D,GiaoDich!$C:$C,A86,GiaoDich!$H:$H,C86,GiaoDich!$B:$B,"&gt;="&amp;TongQuan!$B$6,GiaoDich!$B:$B,"&lt;"&amp;TongQuan!$B$7))</f>
        <v/>
      </c>
      <c r="E86" s="2"/>
      <c r="F86" s="2"/>
      <c r="G86" s="2"/>
      <c r="H86" s="2"/>
    </row>
    <row r="87" spans="1:8">
      <c r="A87" s="2"/>
      <c r="B87" s="2"/>
      <c r="C87" s="2"/>
      <c r="D87" s="9" t="str">
        <f>IF(C87="","",SUMIFS(GiaoDich!$D:$D,GiaoDich!$C:$C,A87,GiaoDich!$H:$H,C87,GiaoDich!$B:$B,"&gt;="&amp;TongQuan!$B$6,GiaoDich!$B:$B,"&lt;"&amp;TongQuan!$B$7))</f>
        <v/>
      </c>
      <c r="E87" s="2"/>
      <c r="F87" s="2"/>
      <c r="G87" s="2"/>
      <c r="H87" s="2"/>
    </row>
    <row r="88" spans="1:8">
      <c r="A88" s="2"/>
      <c r="B88" s="2"/>
      <c r="C88" s="2"/>
      <c r="D88" s="9" t="str">
        <f>IF(C88="","",SUMIFS(GiaoDich!$D:$D,GiaoDich!$C:$C,A88,GiaoDich!$H:$H,C88,GiaoDich!$B:$B,"&gt;="&amp;TongQuan!$B$6,GiaoDich!$B:$B,"&lt;"&amp;TongQuan!$B$7))</f>
        <v/>
      </c>
      <c r="E88" s="2"/>
      <c r="F88" s="2"/>
      <c r="G88" s="2"/>
      <c r="H88" s="2"/>
    </row>
    <row r="89" spans="1:8">
      <c r="A89" s="2"/>
      <c r="B89" s="2"/>
      <c r="C89" s="2"/>
      <c r="D89" s="9" t="str">
        <f>IF(C89="","",SUMIFS(GiaoDich!$D:$D,GiaoDich!$C:$C,A89,GiaoDich!$H:$H,C89,GiaoDich!$B:$B,"&gt;="&amp;TongQuan!$B$6,GiaoDich!$B:$B,"&lt;"&amp;TongQuan!$B$7))</f>
        <v/>
      </c>
      <c r="E89" s="2"/>
      <c r="F89" s="2"/>
      <c r="G89" s="2"/>
      <c r="H89" s="2"/>
    </row>
    <row r="90" spans="1:8">
      <c r="A90" s="2"/>
      <c r="B90" s="2"/>
      <c r="C90" s="2"/>
      <c r="D90" s="9" t="str">
        <f>IF(C90="","",SUMIFS(GiaoDich!$D:$D,GiaoDich!$C:$C,A90,GiaoDich!$H:$H,C90,GiaoDich!$B:$B,"&gt;="&amp;TongQuan!$B$6,GiaoDich!$B:$B,"&lt;"&amp;TongQuan!$B$7))</f>
        <v/>
      </c>
      <c r="E90" s="2"/>
      <c r="F90" s="2"/>
      <c r="G90" s="2"/>
      <c r="H90" s="2"/>
    </row>
    <row r="91" spans="1:8">
      <c r="A91" s="2"/>
      <c r="B91" s="2"/>
      <c r="C91" s="2"/>
      <c r="D91" s="9" t="str">
        <f>IF(C91="","",SUMIFS(GiaoDich!$D:$D,GiaoDich!$C:$C,A91,GiaoDich!$H:$H,C91,GiaoDich!$B:$B,"&gt;="&amp;TongQuan!$B$6,GiaoDich!$B:$B,"&lt;"&amp;TongQuan!$B$7))</f>
        <v/>
      </c>
      <c r="E91" s="2"/>
      <c r="F91" s="2"/>
      <c r="G91" s="2"/>
      <c r="H91" s="2"/>
    </row>
    <row r="92" spans="1:8">
      <c r="A92" s="2"/>
      <c r="B92" s="2"/>
      <c r="C92" s="2"/>
      <c r="D92" s="9" t="str">
        <f>IF(C92="","",SUMIFS(GiaoDich!$D:$D,GiaoDich!$C:$C,A92,GiaoDich!$H:$H,C92,GiaoDich!$B:$B,"&gt;="&amp;TongQuan!$B$6,GiaoDich!$B:$B,"&lt;"&amp;TongQuan!$B$7))</f>
        <v/>
      </c>
      <c r="E92" s="2"/>
      <c r="F92" s="2"/>
      <c r="G92" s="2"/>
      <c r="H92" s="2"/>
    </row>
    <row r="93" spans="1:8">
      <c r="A93" s="2"/>
      <c r="B93" s="2"/>
      <c r="C93" s="2"/>
      <c r="D93" s="9" t="str">
        <f>IF(C93="","",SUMIFS(GiaoDich!$D:$D,GiaoDich!$C:$C,A93,GiaoDich!$H:$H,C93,GiaoDich!$B:$B,"&gt;="&amp;TongQuan!$B$6,GiaoDich!$B:$B,"&lt;"&amp;TongQuan!$B$7))</f>
        <v/>
      </c>
      <c r="E93" s="2"/>
      <c r="F93" s="2"/>
      <c r="G93" s="2"/>
      <c r="H93" s="2"/>
    </row>
    <row r="94" spans="1:8">
      <c r="A94" s="2"/>
      <c r="B94" s="2"/>
      <c r="C94" s="2"/>
      <c r="D94" s="9" t="str">
        <f>IF(C94="","",SUMIFS(GiaoDich!$D:$D,GiaoDich!$C:$C,A94,GiaoDich!$H:$H,C94,GiaoDich!$B:$B,"&gt;="&amp;TongQuan!$B$6,GiaoDich!$B:$B,"&lt;"&amp;TongQuan!$B$7))</f>
        <v/>
      </c>
      <c r="E94" s="2"/>
      <c r="F94" s="2"/>
      <c r="G94" s="2"/>
      <c r="H94" s="2"/>
    </row>
    <row r="95" spans="1:8">
      <c r="A95" s="2"/>
      <c r="B95" s="2"/>
      <c r="C95" s="2"/>
      <c r="D95" s="9" t="str">
        <f>IF(C95="","",SUMIFS(GiaoDich!$D:$D,GiaoDich!$C:$C,A95,GiaoDich!$H:$H,C95,GiaoDich!$B:$B,"&gt;="&amp;TongQuan!$B$6,GiaoDich!$B:$B,"&lt;"&amp;TongQuan!$B$7))</f>
        <v/>
      </c>
      <c r="E95" s="2"/>
      <c r="F95" s="2"/>
      <c r="G95" s="2"/>
      <c r="H95" s="2"/>
    </row>
    <row r="96" spans="1:8">
      <c r="A96" s="2"/>
      <c r="B96" s="2"/>
      <c r="C96" s="2"/>
      <c r="D96" s="9" t="str">
        <f>IF(C96="","",SUMIFS(GiaoDich!$D:$D,GiaoDich!$C:$C,A96,GiaoDich!$H:$H,C96,GiaoDich!$B:$B,"&gt;="&amp;TongQuan!$B$6,GiaoDich!$B:$B,"&lt;"&amp;TongQuan!$B$7))</f>
        <v/>
      </c>
      <c r="E96" s="2"/>
      <c r="F96" s="2"/>
      <c r="G96" s="2"/>
      <c r="H96" s="2"/>
    </row>
    <row r="97" spans="1:8">
      <c r="A97" s="2"/>
      <c r="B97" s="2"/>
      <c r="C97" s="2"/>
      <c r="D97" s="9" t="str">
        <f>IF(C97="","",SUMIFS(GiaoDich!$D:$D,GiaoDich!$C:$C,A97,GiaoDich!$H:$H,C97,GiaoDich!$B:$B,"&gt;="&amp;TongQuan!$B$6,GiaoDich!$B:$B,"&lt;"&amp;TongQuan!$B$7))</f>
        <v/>
      </c>
      <c r="E97" s="2"/>
      <c r="F97" s="2"/>
      <c r="G97" s="2"/>
      <c r="H97" s="2"/>
    </row>
    <row r="98" spans="1:8">
      <c r="A98" s="2"/>
      <c r="B98" s="2"/>
      <c r="C98" s="2"/>
      <c r="D98" s="9" t="str">
        <f>IF(C98="","",SUMIFS(GiaoDich!$D:$D,GiaoDich!$C:$C,A98,GiaoDich!$H:$H,C98,GiaoDich!$B:$B,"&gt;="&amp;TongQuan!$B$6,GiaoDich!$B:$B,"&lt;"&amp;TongQuan!$B$7))</f>
        <v/>
      </c>
      <c r="E98" s="2"/>
      <c r="F98" s="2"/>
      <c r="G98" s="2"/>
      <c r="H98" s="2"/>
    </row>
    <row r="99" spans="1:8">
      <c r="A99" s="2"/>
      <c r="B99" s="2"/>
      <c r="C99" s="2"/>
      <c r="D99" s="9" t="str">
        <f>IF(C99="","",SUMIFS(GiaoDich!$D:$D,GiaoDich!$C:$C,A99,GiaoDich!$H:$H,C99,GiaoDich!$B:$B,"&gt;="&amp;TongQuan!$B$6,GiaoDich!$B:$B,"&lt;"&amp;TongQuan!$B$7))</f>
        <v/>
      </c>
      <c r="E99" s="2"/>
      <c r="F99" s="2"/>
      <c r="G99" s="2"/>
      <c r="H99" s="2"/>
    </row>
    <row r="100" spans="1:8">
      <c r="A100" s="2"/>
      <c r="B100" s="2"/>
      <c r="C100" s="2"/>
      <c r="D100" s="9" t="str">
        <f>IF(C100="","",SUMIFS(GiaoDich!$D:$D,GiaoDich!$C:$C,A100,GiaoDich!$H:$H,C100,GiaoDich!$B:$B,"&gt;="&amp;TongQuan!$B$6,GiaoDich!$B:$B,"&lt;"&amp;TongQuan!$B$7))</f>
        <v/>
      </c>
      <c r="E100" s="2"/>
      <c r="F100" s="2"/>
      <c r="G100" s="2"/>
      <c r="H100" s="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showGridLines="0" tabSelected="1" workbookViewId="0">
      <selection activeCell="A1" sqref="A1"/>
    </sheetView>
  </sheetViews>
  <sheetFormatPr defaultColWidth="8.67592592592593" defaultRowHeight="14.4"/>
  <cols>
    <col min="1" max="1" width="12" customWidth="1"/>
    <col min="2" max="9" width="16" customWidth="1"/>
  </cols>
  <sheetData>
    <row r="1" ht="21" spans="1:9">
      <c r="A1" s="1" t="s">
        <v>129</v>
      </c>
    </row>
    <row r="3" spans="1:9">
      <c r="A3" s="2" t="s">
        <v>130</v>
      </c>
    </row>
    <row r="4" spans="1:9">
      <c r="A4" s="2" t="s">
        <v>131</v>
      </c>
    </row>
    <row r="5" spans="1:9">
      <c r="A5" s="2" t="s">
        <v>132</v>
      </c>
    </row>
    <row r="6" spans="1:9">
      <c r="A6" s="2" t="s">
        <v>133</v>
      </c>
    </row>
    <row r="7" spans="1:9">
      <c r="A7" s="2" t="s">
        <v>134</v>
      </c>
    </row>
    <row r="8" spans="1:9">
      <c r="A8" s="2" t="s">
        <v>135</v>
      </c>
    </row>
    <row r="9" spans="1:9">
      <c r="A9" s="2" t="s">
        <v>136</v>
      </c>
    </row>
    <row r="10" spans="1:9">
      <c r="A10" s="2" t="s">
        <v>137</v>
      </c>
    </row>
    <row r="11" spans="1:9">
      <c r="A11" s="2" t="s">
        <v>138</v>
      </c>
    </row>
    <row r="13" spans="1:9">
      <c r="A13" s="3" t="s">
        <v>139</v>
      </c>
    </row>
    <row r="14" spans="1:9">
      <c r="A14" s="4" t="s">
        <v>26</v>
      </c>
      <c r="B14" s="4" t="s">
        <v>27</v>
      </c>
      <c r="C14" s="4" t="s">
        <v>28</v>
      </c>
      <c r="D14" s="4" t="s">
        <v>19</v>
      </c>
      <c r="E14" s="4" t="s">
        <v>29</v>
      </c>
      <c r="F14" s="4" t="s">
        <v>140</v>
      </c>
      <c r="G14" s="4" t="s">
        <v>31</v>
      </c>
      <c r="H14" s="4" t="s">
        <v>32</v>
      </c>
      <c r="I14" s="4" t="s">
        <v>33</v>
      </c>
    </row>
    <row r="15" spans="1:9">
      <c r="A15" s="5" t="s">
        <v>141</v>
      </c>
      <c r="B15" s="6">
        <v>46298</v>
      </c>
      <c r="C15" s="5" t="s">
        <v>38</v>
      </c>
      <c r="D15" s="7">
        <v>35000</v>
      </c>
      <c r="E15" s="5" t="s">
        <v>43</v>
      </c>
      <c r="F15" s="5"/>
      <c r="G15" s="5" t="s">
        <v>54</v>
      </c>
      <c r="H15" s="5" t="s">
        <v>55</v>
      </c>
      <c r="I15" s="5" t="s">
        <v>142</v>
      </c>
    </row>
    <row r="16" spans="1:9">
      <c r="A16" s="8" t="s">
        <v>143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TongQuan</vt:lpstr>
      <vt:lpstr>GiaoDich</vt:lpstr>
      <vt:lpstr>TaiKhoan</vt:lpstr>
      <vt:lpstr>DanhMuc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HuynhTran Tuan Kiet</cp:lastModifiedBy>
  <cp:revision>1</cp:revision>
  <dcterms:created xsi:type="dcterms:W3CDTF">2026-10-10T02:39:00Z</dcterms:created>
  <dcterms:modified xsi:type="dcterms:W3CDTF">2026-10-10T03:53:48Z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C4524045F7A3405BBBD4EEC08DBF1068_12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